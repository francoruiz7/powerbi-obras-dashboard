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044975\Desktop\"/>
    </mc:Choice>
  </mc:AlternateContent>
  <xr:revisionPtr revIDLastSave="0" documentId="13_ncr:1_{DEDB7A29-E2CB-4E9B-9AD3-AE21B14152A8}" xr6:coauthVersionLast="47" xr6:coauthVersionMax="47" xr10:uidLastSave="{00000000-0000-0000-0000-000000000000}"/>
  <bookViews>
    <workbookView xWindow="28680" yWindow="-45" windowWidth="20730" windowHeight="11040" xr2:uid="{00000000-000D-0000-FFFF-FFFF00000000}"/>
  </bookViews>
  <sheets>
    <sheet name="OBRAS VIGENTES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'OBRAS VIGENTES'!$A$1:$AU$44</definedName>
    <definedName name="COMPRADOR">[1]LISTAS!$A$2:$A$9</definedName>
    <definedName name="ESTADO">[1]LISTAS!$A$22:$A$27</definedName>
    <definedName name="ESTADOO">[1]LISTAS!$A$22:$A$27</definedName>
    <definedName name="listado">#REF!</definedName>
    <definedName name="ñ">'[2]2013'!$B$2:$AJ$279</definedName>
    <definedName name="OBRA">#REF!</definedName>
    <definedName name="orden">#REF!</definedName>
    <definedName name="PUBLICA">#REF!</definedName>
    <definedName name="verde">[3]PUBLICA!$C$3:$AS$113</definedName>
    <definedName name="Z_274EEEB9_448A_4950_9D09_913A859D6B0A_.wvu.FilterData" localSheetId="0" hidden="1">'OBRAS VIGENTES'!$A$1:$AU$8</definedName>
    <definedName name="Z_59A9C6AD_4CC6_424B_ABB4_BB544C63D1F0_.wvu.FilterData" localSheetId="0" hidden="1">'OBRAS VIGENTES'!$A$1:$AU$8</definedName>
    <definedName name="Z_739775B6_BBD1_42DB_9526_DC3278944A1C_.wvu.FilterData" localSheetId="0" hidden="1">'OBRAS VIGENTES'!$A$1:$AU$8</definedName>
    <definedName name="Z_AF1E95A0_EDDD_4F6A_8BC1_F08F0239533D_.wvu.FilterData" localSheetId="0" hidden="1">'OBRAS VIGENTES'!$A$1:$AU$8</definedName>
    <definedName name="Z_AFD61D45_78E8_48A2_AFD3_329A002F5A6C_.wvu.FilterData" localSheetId="0" hidden="1">'OBRAS VIGENTES'!$A$1:$AU$8</definedName>
    <definedName name="Z_E2183EC7_A4B9_425C_B53A_8FAF16EFFE41_.wvu.FilterData" localSheetId="0" hidden="1">'OBRAS VIGENTES'!$A$1:$AU$8</definedName>
    <definedName name="Z_EF6B966D_1491_43A6_BC39_1F8D4D9E538D_.wvu.FilterData" localSheetId="0" hidden="1">'OBRAS VIGENTES'!$A$1:$AU$8</definedName>
  </definedNames>
  <calcPr calcId="191029"/>
  <customWorkbookViews>
    <customWorkbookView name="Caretta, Natalia - Vista personalizada" guid="{E2183EC7-A4B9-425C-B53A-8FAF16EFFE41}" mergeInterval="0" personalView="1" maximized="1" xWindow="1358" yWindow="-8" windowWidth="1936" windowHeight="1056" activeSheetId="1"/>
    <customWorkbookView name="Benitez Romina Natali - Vista personalizada" guid="{274EEEB9-448A-4950-9D09-913A859D6B0A}" mergeInterval="0" personalView="1" maximized="1" xWindow="-8" yWindow="-8" windowWidth="1936" windowHeight="1056" activeSheetId="1" showComments="commIndAndComment"/>
    <customWorkbookView name="Hernandez, Luciano Martin - Vista personalizada" guid="{AF1E95A0-EDDD-4F6A-8BC1-F08F0239533D}" mergeInterval="0" personalView="1" maximized="1" xWindow="-8" yWindow="-8" windowWidth="1936" windowHeight="1056" activeSheetId="1"/>
    <customWorkbookView name="Mariel Pedretti - Vista personalizada" guid="{EF6B966D-1491-43A6-BC39-1F8D4D9E538D}" mergeInterval="0" personalView="1" maximized="1" xWindow="-4" yWindow="-4" windowWidth="1288" windowHeight="992" activeSheetId="1"/>
    <customWorkbookView name="Ruiz, Franco Alejandro - Vista personalizada" guid="{739775B6-BBD1-42DB-9526-DC3278944A1C}" mergeInterval="0" personalView="1" maximized="1" xWindow="1912" yWindow="-8" windowWidth="1382" windowHeight="744" activeSheetId="1"/>
    <customWorkbookView name="Monzon, Diego Eloy - Vista personalizada" guid="{AFD61D45-78E8-48A2-AFD3-329A002F5A6C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3" i="1" l="1"/>
  <c r="AJ35" i="1"/>
  <c r="AJ38" i="1"/>
  <c r="AJ39" i="1"/>
  <c r="AJ40" i="1"/>
  <c r="AJ41" i="1"/>
  <c r="AJ42" i="1"/>
  <c r="AJ43" i="1"/>
  <c r="AJ44" i="1"/>
  <c r="AJ27" i="1"/>
  <c r="AJ28" i="1"/>
  <c r="AJ29" i="1"/>
  <c r="AJ22" i="1"/>
  <c r="AJ23" i="1"/>
  <c r="AJ24" i="1"/>
  <c r="AJ25" i="1"/>
  <c r="AJ16" i="1"/>
  <c r="AC17" i="1" l="1"/>
  <c r="Z27" i="1"/>
  <c r="Z21" i="1"/>
  <c r="AG21" i="1"/>
  <c r="AE32" i="1"/>
  <c r="AH17" i="1"/>
  <c r="AG17" i="1"/>
  <c r="V41" i="1"/>
  <c r="W41" i="1" s="1"/>
  <c r="V42" i="1"/>
  <c r="W42" i="1" s="1"/>
  <c r="V43" i="1"/>
  <c r="X43" i="1" s="1"/>
  <c r="V28" i="1"/>
  <c r="W28" i="1" s="1"/>
  <c r="V22" i="1"/>
  <c r="AG32" i="1"/>
  <c r="AH32" i="1"/>
  <c r="Z17" i="1"/>
  <c r="AE17" i="1"/>
  <c r="Z26" i="1"/>
  <c r="AH26" i="1"/>
  <c r="AE26" i="1"/>
  <c r="AJ32" i="1" l="1"/>
  <c r="X41" i="1"/>
  <c r="X28" i="1"/>
  <c r="AA28" i="1" s="1"/>
  <c r="X42" i="1"/>
  <c r="W43" i="1"/>
  <c r="V45" i="1"/>
  <c r="W45" i="1" s="1"/>
  <c r="AJ45" i="1"/>
  <c r="X45" i="1" l="1"/>
  <c r="AA45" i="1" s="1"/>
  <c r="AE19" i="1"/>
  <c r="Z32" i="1"/>
  <c r="V40" i="1"/>
  <c r="AA41" i="1"/>
  <c r="AA42" i="1"/>
  <c r="AA43" i="1"/>
  <c r="Z34" i="1" l="1"/>
  <c r="AH34" i="1"/>
  <c r="AE34" i="1"/>
  <c r="AJ34" i="1" l="1"/>
  <c r="Z14" i="1" l="1"/>
  <c r="W22" i="1" l="1"/>
  <c r="X22" i="1" l="1"/>
  <c r="AA22" i="1" s="1"/>
  <c r="V23" i="1"/>
  <c r="X23" i="1" s="1"/>
  <c r="W23" i="1" l="1"/>
  <c r="V38" i="1" l="1"/>
  <c r="X38" i="1" s="1"/>
  <c r="W40" i="1"/>
  <c r="W38" i="1" l="1"/>
  <c r="X40" i="1"/>
  <c r="AC30" i="1" l="1"/>
  <c r="AE14" i="1" l="1"/>
  <c r="V29" i="1" l="1"/>
  <c r="X29" i="1" s="1"/>
  <c r="W29" i="1" l="1"/>
  <c r="AA38" i="1"/>
  <c r="AA23" i="1" l="1"/>
  <c r="V25" i="1" l="1"/>
  <c r="X25" i="1" s="1"/>
  <c r="AA25" i="1" s="1"/>
  <c r="W25" i="1" l="1"/>
  <c r="AC16" i="1"/>
  <c r="Z19" i="1" l="1"/>
  <c r="AA40" i="1" l="1"/>
  <c r="AE30" i="1" l="1"/>
  <c r="AJ30" i="1" s="1"/>
  <c r="Z30" i="1" l="1"/>
  <c r="AE13" i="1" l="1"/>
  <c r="Z13" i="1"/>
  <c r="AC24" i="1" l="1"/>
  <c r="V35" i="1" l="1"/>
  <c r="X35" i="1" s="1"/>
  <c r="AA35" i="1" s="1"/>
  <c r="V44" i="1"/>
  <c r="W44" i="1" s="1"/>
  <c r="W35" i="1" l="1"/>
  <c r="X44" i="1"/>
  <c r="AA44" i="1" s="1"/>
  <c r="AE10" i="1"/>
  <c r="AC15" i="1" l="1"/>
  <c r="AA29" i="1" l="1"/>
  <c r="AC10" i="1"/>
  <c r="AC12" i="1" l="1"/>
  <c r="V39" i="1" l="1"/>
  <c r="X39" i="1" s="1"/>
  <c r="W39" i="1" l="1"/>
  <c r="AJ3" i="1" l="1"/>
  <c r="V3" i="1"/>
  <c r="AA3" i="1" s="1"/>
  <c r="W3" i="1" l="1"/>
  <c r="V11" i="1" l="1"/>
  <c r="X11" i="1" s="1"/>
  <c r="W11" i="1" l="1"/>
  <c r="V27" i="1"/>
  <c r="W27" i="1" s="1"/>
  <c r="X27" i="1" l="1"/>
  <c r="AG26" i="1" l="1"/>
  <c r="AJ26" i="1" s="1"/>
  <c r="AA39" i="1" l="1"/>
  <c r="AA27" i="1" l="1"/>
  <c r="AA11" i="1" l="1"/>
  <c r="AJ11" i="1"/>
  <c r="V30" i="1" l="1"/>
  <c r="Y37" i="1" l="1"/>
  <c r="Z10" i="1" l="1"/>
  <c r="V24" i="1" l="1"/>
  <c r="X24" i="1" s="1"/>
  <c r="W24" i="1" l="1"/>
  <c r="Z16" i="1" l="1"/>
  <c r="AA24" i="1" l="1"/>
  <c r="X30" i="1" l="1"/>
  <c r="W30" i="1" l="1"/>
  <c r="V20" i="1" l="1"/>
  <c r="X20" i="1" s="1"/>
  <c r="W20" i="1" l="1"/>
  <c r="AG6" i="1" l="1"/>
  <c r="AG7" i="1"/>
  <c r="V8" i="1" l="1"/>
  <c r="X8" i="1" s="1"/>
  <c r="AA8" i="1" s="1"/>
  <c r="V18" i="1"/>
  <c r="X18" i="1" s="1"/>
  <c r="AA18" i="1" s="1"/>
  <c r="AJ18" i="1"/>
  <c r="W8" i="1" l="1"/>
  <c r="W18" i="1"/>
  <c r="V14" i="1"/>
  <c r="AJ8" i="1" l="1"/>
  <c r="AA30" i="1" l="1"/>
  <c r="X14" i="1" l="1"/>
  <c r="W14" i="1" l="1"/>
  <c r="V9" i="1" l="1"/>
  <c r="X9" i="1" s="1"/>
  <c r="W9" i="1" l="1"/>
  <c r="V26" i="1" l="1"/>
  <c r="X26" i="1" l="1"/>
  <c r="AA26" i="1" s="1"/>
  <c r="W26" i="1"/>
  <c r="AJ20" i="1" l="1"/>
  <c r="AJ13" i="1"/>
  <c r="AJ21" i="1"/>
  <c r="AJ9" i="1"/>
  <c r="AA9" i="1" l="1"/>
  <c r="AJ4" i="1"/>
  <c r="V4" i="1"/>
  <c r="V21" i="1"/>
  <c r="W21" i="1" s="1"/>
  <c r="V32" i="1"/>
  <c r="AJ17" i="1"/>
  <c r="V17" i="1"/>
  <c r="X17" i="1" s="1"/>
  <c r="AA17" i="1" s="1"/>
  <c r="X32" i="1" l="1"/>
  <c r="AA32" i="1" s="1"/>
  <c r="W32" i="1"/>
  <c r="X4" i="1"/>
  <c r="AA4" i="1" s="1"/>
  <c r="X21" i="1"/>
  <c r="AA21" i="1" s="1"/>
  <c r="W17" i="1"/>
  <c r="W4" i="1"/>
  <c r="V12" i="1" l="1"/>
  <c r="X12" i="1" l="1"/>
  <c r="AA12" i="1" s="1"/>
  <c r="W12" i="1"/>
  <c r="AJ14" i="1" l="1"/>
  <c r="AA14" i="1"/>
  <c r="AA20" i="1" l="1"/>
  <c r="V13" i="1" l="1"/>
  <c r="W13" i="1" s="1"/>
  <c r="X13" i="1" l="1"/>
  <c r="AA13" i="1" s="1"/>
  <c r="AJ12" i="1" l="1"/>
  <c r="V34" i="1" l="1"/>
  <c r="X34" i="1" l="1"/>
  <c r="AA34" i="1" s="1"/>
  <c r="W34" i="1"/>
  <c r="V19" i="1"/>
  <c r="W19" i="1" l="1"/>
  <c r="X19" i="1"/>
  <c r="AA19" i="1" s="1"/>
  <c r="AH2" i="1" l="1"/>
  <c r="AE2" i="1"/>
  <c r="AG2" i="1"/>
  <c r="AG31" i="1"/>
  <c r="AJ31" i="1" s="1"/>
  <c r="AG37" i="1"/>
  <c r="AJ37" i="1" s="1"/>
  <c r="Y33" i="1"/>
  <c r="Z5" i="1" l="1"/>
  <c r="AJ15" i="1" l="1"/>
  <c r="AJ19" i="1"/>
  <c r="AM19" i="1" s="1"/>
  <c r="V15" i="1" l="1"/>
  <c r="X15" i="1" s="1"/>
  <c r="AA15" i="1" s="1"/>
  <c r="W15" i="1" l="1"/>
  <c r="AJ10" i="1" l="1"/>
  <c r="V10" i="1" l="1"/>
  <c r="W10" i="1" s="1"/>
  <c r="X10" i="1" l="1"/>
  <c r="AA10" i="1" s="1"/>
  <c r="AM10" i="1" s="1"/>
  <c r="V16" i="1" l="1"/>
  <c r="X16" i="1" s="1"/>
  <c r="AA16" i="1" s="1"/>
  <c r="W16" i="1" l="1"/>
  <c r="AM16" i="1" l="1"/>
  <c r="AJ7" i="1" l="1"/>
  <c r="AJ6" i="1"/>
  <c r="AG5" i="1" l="1"/>
  <c r="AJ5" i="1" s="1"/>
  <c r="AC2" i="1" l="1"/>
  <c r="Z2" i="1" l="1"/>
  <c r="AJ2" i="1" l="1"/>
  <c r="V7" i="1" l="1"/>
  <c r="V6" i="1"/>
  <c r="W6" i="1" l="1"/>
  <c r="X6" i="1"/>
  <c r="AA6" i="1" s="1"/>
  <c r="W7" i="1"/>
  <c r="X7" i="1"/>
  <c r="AA7" i="1" s="1"/>
  <c r="V5" i="1"/>
  <c r="X5" i="1" s="1"/>
  <c r="V2" i="1"/>
  <c r="V31" i="1"/>
  <c r="AG36" i="1"/>
  <c r="AJ36" i="1" s="1"/>
  <c r="V36" i="1"/>
  <c r="V37" i="1"/>
  <c r="V33" i="1"/>
  <c r="W2" i="1" l="1"/>
  <c r="X2" i="1"/>
  <c r="AA2" i="1" s="1"/>
  <c r="X33" i="1"/>
  <c r="AA33" i="1" s="1"/>
  <c r="W33" i="1"/>
  <c r="X37" i="1"/>
  <c r="AA37" i="1" s="1"/>
  <c r="W37" i="1"/>
  <c r="X36" i="1"/>
  <c r="AA36" i="1" s="1"/>
  <c r="W36" i="1"/>
  <c r="AA5" i="1"/>
  <c r="AM5" i="1" s="1"/>
  <c r="W5" i="1"/>
  <c r="X31" i="1"/>
  <c r="AA31" i="1" s="1"/>
  <c r="W31" i="1"/>
</calcChain>
</file>

<file path=xl/sharedStrings.xml><?xml version="1.0" encoding="utf-8"?>
<sst xmlns="http://schemas.openxmlformats.org/spreadsheetml/2006/main" count="523" uniqueCount="233">
  <si>
    <t>ORDEN DE TRABAJO</t>
  </si>
  <si>
    <t>EXP.</t>
  </si>
  <si>
    <t>NRO. LICITACION</t>
  </si>
  <si>
    <t>COMPRADOR</t>
  </si>
  <si>
    <t>DESCRIPCION</t>
  </si>
  <si>
    <t>UBICACIÓN</t>
  </si>
  <si>
    <t>PLAZO DE OBRA</t>
  </si>
  <si>
    <t>PROVEEDOR</t>
  </si>
  <si>
    <t>TECNICO DE LA OBRA</t>
  </si>
  <si>
    <t>MONTO TOTAL ADJUDICADO</t>
  </si>
  <si>
    <t>ESTADO</t>
  </si>
  <si>
    <t>VTO. FIRMA OT</t>
  </si>
  <si>
    <t>VTO. INICIO</t>
  </si>
  <si>
    <t>CORRIMIENTO INICIO</t>
  </si>
  <si>
    <t>ACTA DE INICIO</t>
  </si>
  <si>
    <t>LNI</t>
  </si>
  <si>
    <t>AMPLIACIONES DE PLAZO</t>
  </si>
  <si>
    <t>DIAS DE ATRASO (considerando AP + LNI)</t>
  </si>
  <si>
    <t>ACTA RECEP. PROVISORIA</t>
  </si>
  <si>
    <t>VTO. GARANTIA</t>
  </si>
  <si>
    <t>ACTA RECEP. DEFINITIVA</t>
  </si>
  <si>
    <t>ADICIONALES DE OBRA</t>
  </si>
  <si>
    <t>ECONOMIAS</t>
  </si>
  <si>
    <t>REDET. PRECIOS</t>
  </si>
  <si>
    <t>REDET. ADICIONALES</t>
  </si>
  <si>
    <t>REDET. ECONOMÍAS</t>
  </si>
  <si>
    <t>MULTA OT</t>
  </si>
  <si>
    <t>MULTA INICIO</t>
  </si>
  <si>
    <t>MULTA ENTREGA TRABAJOS</t>
  </si>
  <si>
    <t>MULTA ORDENES DE SERVICIO</t>
  </si>
  <si>
    <t>% AVANCE ACUMULADO</t>
  </si>
  <si>
    <t xml:space="preserve">OBSERVACIONES S/AVANCE </t>
  </si>
  <si>
    <t>FECHA INFORME TECNICO</t>
  </si>
  <si>
    <t>OBSERVACIONES</t>
  </si>
  <si>
    <t>REC. PROV.</t>
  </si>
  <si>
    <t>EJECUCIÓN</t>
  </si>
  <si>
    <t>48 días hábiles</t>
  </si>
  <si>
    <t>CASA CENTRAL</t>
  </si>
  <si>
    <t>5 días hábiles</t>
  </si>
  <si>
    <t>Envio</t>
  </si>
  <si>
    <t>CAJA N°</t>
  </si>
  <si>
    <t>TOMOS</t>
  </si>
  <si>
    <t>CAMBIO DE VEREDA PÚBLICA</t>
  </si>
  <si>
    <t>REMODELACION DE NUCLEO SANITARIO E IMPERMEABILIZACION DE CUBIERTA</t>
  </si>
  <si>
    <t>NIVEL 1 SECTORES A Y B DE EDIFICIO GUANAHANI</t>
  </si>
  <si>
    <t>VENCIMIENTO RESP. CIVIL</t>
  </si>
  <si>
    <t>LOCACION</t>
  </si>
  <si>
    <t>JUNIN</t>
  </si>
  <si>
    <t>ANEXO JUNIN</t>
  </si>
  <si>
    <t>SAN JUSTO</t>
  </si>
  <si>
    <t>AZUL</t>
  </si>
  <si>
    <t>COLON</t>
  </si>
  <si>
    <t>CMZ PEHUAJO</t>
  </si>
  <si>
    <t>VENCIMIENTO ORIGINAL ENTREGA</t>
  </si>
  <si>
    <t>VENCIMIENTO
+ AMPLIACION</t>
  </si>
  <si>
    <t>VENCIMIENTO
+ AMPL + LNI</t>
  </si>
  <si>
    <t>MONTO CONTRATO ACTUALIZADO</t>
  </si>
  <si>
    <t>CABLEADO</t>
  </si>
  <si>
    <t>CCTV</t>
  </si>
  <si>
    <t>SUCURSAL</t>
  </si>
  <si>
    <t>CASA MATRIZ LA PLATA</t>
  </si>
  <si>
    <t>AMPLIACION BANCA ELECTRONICA</t>
  </si>
  <si>
    <t>ZARATE</t>
  </si>
  <si>
    <t>TRABAJOS DE SANEAMIENTO Y ADECUACIONES VARIAS</t>
  </si>
  <si>
    <t>ANEXO ESQUINA</t>
  </si>
  <si>
    <t>N/A</t>
  </si>
  <si>
    <t>EN GARANTIA</t>
  </si>
  <si>
    <t>VILLA LUGANO</t>
  </si>
  <si>
    <t>VILLA ITALIA</t>
  </si>
  <si>
    <t>PROVISION, INSTALACION Y PUESTA EN SERVICIO DE CABLEADO ESTRUCTURADO - MAR DEL PLATA SECTORES 1 SS Y EP COMEX - PARTIDO TANDIL</t>
  </si>
  <si>
    <t>EN EJECUCIÓN</t>
  </si>
  <si>
    <t>GUANAHANI</t>
  </si>
  <si>
    <t>PROSECUCIÓN DE LOS TRABAJOS DE AMPLIACIÓN DE BANCA ELECTRÓNICA Y PUESTA EN VALOR DE FACHADA</t>
  </si>
  <si>
    <t>ROJAS</t>
  </si>
  <si>
    <t>PROVISION E INSTALACION DE SISTEMA DE CCTV</t>
  </si>
  <si>
    <t>CASA CENTRAL Y ANEXO</t>
  </si>
  <si>
    <t xml:space="preserve">TRABAJOS DE EJECUCIÓN NUEVA BANCA ELECTRÓNICA Y REEMPLAZO DE CUBIERTA </t>
  </si>
  <si>
    <t>JUAN JOSÉ PASO</t>
  </si>
  <si>
    <t>VILLA INSUPERABLE</t>
  </si>
  <si>
    <t>NUEVA BANCA ELECTRÓNICA</t>
  </si>
  <si>
    <t>8 dias habiles</t>
  </si>
  <si>
    <t>SAN CAYETANO</t>
  </si>
  <si>
    <t>TRABAJOS DE READECUACIÓN DE BUNKER, BANCA ELECTRÓNICA Y SALÓN</t>
  </si>
  <si>
    <t>2° SS EDIFICIO CASA CENTRAL Y PATIO INGLES</t>
  </si>
  <si>
    <t>TRABAJOS DE REMODELACION INTEGRAL DEL TALLER DE ELECTRICIDAD 2° SS DEL EDIFCIO DE CASA CENTRAL Y PUESTA EN VALOR DEL PATIO INGLES</t>
  </si>
  <si>
    <t>FECHA FIRMA DE OT</t>
  </si>
  <si>
    <t>FECHA DE PERF. DE CONTRATO</t>
  </si>
  <si>
    <t>EN EJECUCION</t>
  </si>
  <si>
    <t>REMODELACIÓN INTEGRAL</t>
  </si>
  <si>
    <t>TRES ARROYOS</t>
  </si>
  <si>
    <t>BECCAR</t>
  </si>
  <si>
    <t>VILLA RAMALLO</t>
  </si>
  <si>
    <t xml:space="preserve">PROSECUCION DE LOS TRABAJOS DE CONSTRUCCION DE NUEVA SUCURSAL </t>
  </si>
  <si>
    <t>ALMAFUERTE</t>
  </si>
  <si>
    <t>PROSECUCION DE LOS TRABAJOS DE REMODELACION INTEGRAL</t>
  </si>
  <si>
    <t>PROSECUCIÓN DE LOS TRABAJOS DE REMODELACION INTEGRAL</t>
  </si>
  <si>
    <t>PROVISIÓN, INSTALACIÓN Y PUESTA EN SERVICIO DE PUESTOS DE CABLEADO ESTRUCTURADO</t>
  </si>
  <si>
    <t>EN EJECUCION. PARALIZADA POR OS N° 1 DESDE 29/05/25</t>
  </si>
  <si>
    <t>TIPO</t>
  </si>
  <si>
    <t>PRIVADA</t>
  </si>
  <si>
    <t>PÚBLICA</t>
  </si>
  <si>
    <t>DIRECTA</t>
  </si>
  <si>
    <t>RUBRO</t>
  </si>
  <si>
    <t>ADECUACIONES</t>
  </si>
  <si>
    <t>ALARMA</t>
  </si>
  <si>
    <t>BANCA ELECTRÓNICA</t>
  </si>
  <si>
    <t>CONSTRUCCIÓN</t>
  </si>
  <si>
    <t>PEHUAJO</t>
  </si>
  <si>
    <t xml:space="preserve"> </t>
  </si>
  <si>
    <t>12 dias habiles</t>
  </si>
  <si>
    <t>3 dias habiles</t>
  </si>
  <si>
    <t xml:space="preserve">TRABAJOS DE ADECUACIONES VARIAS </t>
  </si>
  <si>
    <t>7 días hábiles</t>
  </si>
  <si>
    <t>2 dias habiles</t>
  </si>
  <si>
    <t>TRABAJOS DE ADECUACIÓN DEL SISTEMA DE CCTV</t>
  </si>
  <si>
    <t>PROVISIÓN, INSTALACIÓN E INTERCONEXIÓN DE LOS SISTEMAS DE ALARMAS PROPIOS PROPIOS DEL BANCO - CABECERA PASE DE FONDOS, ANEXO SEG.- JURIDICA , SUC. JUNIN Y SUC VILLA ITALIA</t>
  </si>
  <si>
    <t>LA CONTRATISTA ESTA REALIZANDO ARREGLO DE INCONVENIENTES PRODUCIDOS DURANTE EL PERIODO DE GARANTIA</t>
  </si>
  <si>
    <t>TRABAJOS DE ADECUACIONES VARIAS Y REEMPLAZO COLECTOR TANQUES DE RESERVA - NÚCLEOS A Y B CASA CENTRAL</t>
  </si>
  <si>
    <t>TRABAJOS DE PROTECCIÓN DE FACHADA Y VARIOS</t>
  </si>
  <si>
    <t>ANEXO PERÓN</t>
  </si>
  <si>
    <t>TRABAJOS DE REMODELACION DE SANITARIOS</t>
  </si>
  <si>
    <t>6 días habiles</t>
  </si>
  <si>
    <t>22 días habiles</t>
  </si>
  <si>
    <t xml:space="preserve">TRABAJOS DE SANEAMIENTO Y ADECUACIONES VARIAS </t>
  </si>
  <si>
    <t>11 dias habiles</t>
  </si>
  <si>
    <t>TRABAJOS VARIOS EN JARDÍN MATERNAL DR. ALFREDO PRAT</t>
  </si>
  <si>
    <t>BRANDSEN</t>
  </si>
  <si>
    <t>PROVISIÓN, INSTALACIÓN Y PUESTA EN SERVICIO DE PUESTOS DE CABLEADO ESTRCUTURADO</t>
  </si>
  <si>
    <t>Obra paralizaday reiniciada hasta la OS 9 - p/elevar
05/11/2025 Mail de Hector suarez en rta a redet. no cuenta con provisoria casi un 80% avance. 
19/11 mail: demoras por la entrega de algunos materiales por cambio de modelo. Dic-En se cerrará la obra</t>
  </si>
  <si>
    <t>PROSECUSION DE LOS TRABAJOS DE REMODELACION INTEGRAL</t>
  </si>
  <si>
    <t xml:space="preserve">CHASCOMUS </t>
  </si>
  <si>
    <t xml:space="preserve">VILLA ITALIA </t>
  </si>
  <si>
    <t>PROVISIÓN, INSTALACIÓN DE SISTEMAS DE ALARMA PROPIO PARA NUEVA SUCURSAL</t>
  </si>
  <si>
    <t>PARA ELEVAR LNI (al aguardo del cierre de Junin)</t>
  </si>
  <si>
    <t>27/11 al 05/12 PARA ELEVAR CORRIMIENTO 
05/12 OS 1 paraliza los trabajos</t>
  </si>
  <si>
    <t>27/11 al 05/12 PARA ELEVAR CORRIMIENTO 
05/12 OS 1 A 3 - Corresponde LNI</t>
  </si>
  <si>
    <t xml:space="preserve">EN GARANTIA - TIENE OBS. - Consultar a fines de enero. </t>
  </si>
  <si>
    <t>18/09 A ASUNTOS JUDICIALES NOTA + TOTALIDAD DE TOMOS (1 AL 4) 
LEGALES ACUERDA CON LA CONTRATISTA EL PAGO DEL MONTO FALTANTE EN TRES CUOTAS (04/03, 04/03 Y 03/04)</t>
  </si>
  <si>
    <t xml:space="preserve">TRABAJOS DE SANEAMIENTO E IMPERMEABILIZACION DE CUBIERTAS ETAPA 1, ADECUACIONES DE SEGURIDAD Y VEREDAS PÚBLICAS </t>
  </si>
  <si>
    <t>PENDIENTE ELEVACIÓN DE MULTA DEFINITIVA POR INCUMPLIMIENTO EN EL PLAZO DE EJECICIÓN DE CONTRATO (A LA ESPERA DEL MONTO FINAL DE CONTRATO)</t>
  </si>
  <si>
    <t>TRABAJOS EN ARCHIVO PARA OPERACIONES CENTRALIZADAS</t>
  </si>
  <si>
    <t xml:space="preserve">Sucursal Villa Italia tiene provisoria con fecha 31.10.2025                   2/12/25 MAIL: -SUCURSAL JUNIN:Trabajos culminados.
- ANEXO JUNIN: Trabajos culminados.
- SEGURIDAD JUNIN + CABECERA PASE DE FONDOS JUNIN + JURIDICA JUNIN: Trabajos en proceso de ejecucion. Una vez culminados estos ultimos trabajos, remitiremos por cuerda separada la respectiva recepcion provisoria. </t>
  </si>
  <si>
    <t>DESCONEXIÓN, PROVISIÓN, INSTALACIÓN E INTERCONEXIÓN DE LOS SISTEMAS DE ALARMA</t>
  </si>
  <si>
    <t>EDIFICIO REGIÓN Y CASA MATRIZ LA PLATA Y ANEXO CRÉDITO HIPOTECARIO LA PLATA</t>
  </si>
  <si>
    <t>MULTA POR INCUMPLIMIENTO EN EL PLAZO DE EJECUCION DE CONTRATO PARA ELEVAR CUANDO CONTEMOS CON EL MONTO FINAL DE CONTRATO</t>
  </si>
  <si>
    <t>180</t>
  </si>
  <si>
    <t>19/01/2026</t>
  </si>
  <si>
    <t>23/01/2026</t>
  </si>
  <si>
    <t>02/02/2026</t>
  </si>
  <si>
    <t>09/02/2026</t>
  </si>
  <si>
    <t>19/08/2026</t>
  </si>
  <si>
    <t>CENTRO ZONAL LA MATANZA</t>
  </si>
  <si>
    <t>CENTRO ZONAL DOLORES</t>
  </si>
  <si>
    <t>PROVISION E INSTALACIÓN DE SISTEMA DE CCTV Y ALARMA ELECTRONICA - ITEM 1</t>
  </si>
  <si>
    <t>PROVISION E INSTALACIÓN DE SISTEMA DE CCTV Y ALARMA ELECTRONICA - ITEM 2</t>
  </si>
  <si>
    <t>PROVISION E INSTALACIÓN DE SISTEMA DE CCTV Y ALARMA ELECTRONICA  - ITEM 3</t>
  </si>
  <si>
    <t>PROVISION E INSTALACIÓN DE SISTEMA DE CCTV Y ALARMA ELECTRONICA - ITEM 4</t>
  </si>
  <si>
    <t xml:space="preserve"> EN EJECUCION - pedido de provisoria con fecha 25/03/26</t>
  </si>
  <si>
    <t>4</t>
  </si>
  <si>
    <t>8,72%</t>
  </si>
  <si>
    <t>7,37%</t>
  </si>
  <si>
    <t>13/04/2026</t>
  </si>
  <si>
    <t>Con fecha 16/04 se consulta por novedades de plazo</t>
  </si>
  <si>
    <t>Nota solicitud rescisión - Recibida por Dictámenes el 12/03/26</t>
  </si>
  <si>
    <t>5</t>
  </si>
  <si>
    <t>EN EJECUCION - Con fecha 14/04 se elevan adicionales y ampliación</t>
  </si>
  <si>
    <t>114592/1</t>
  </si>
  <si>
    <t>196530/2</t>
  </si>
  <si>
    <t>178907/1</t>
  </si>
  <si>
    <t>193850/9</t>
  </si>
  <si>
    <t>158878/5</t>
  </si>
  <si>
    <t>100851/3</t>
  </si>
  <si>
    <t>105.695</t>
  </si>
  <si>
    <t>TORRES</t>
  </si>
  <si>
    <t>MARTINEZ</t>
  </si>
  <si>
    <t>GARCIA</t>
  </si>
  <si>
    <t>44.669</t>
  </si>
  <si>
    <t>12.043</t>
  </si>
  <si>
    <t>ORTEGA</t>
  </si>
  <si>
    <t>BENITEZ</t>
  </si>
  <si>
    <t>CASTILLO</t>
  </si>
  <si>
    <t>LUNA</t>
  </si>
  <si>
    <t>NAVARRO</t>
  </si>
  <si>
    <t>GUTIERREZ</t>
  </si>
  <si>
    <t>JUAREZ</t>
  </si>
  <si>
    <t>HERRERA</t>
  </si>
  <si>
    <t>IBARRA</t>
  </si>
  <si>
    <t>ESPINOZA</t>
  </si>
  <si>
    <t>$ 238.332.190,59</t>
  </si>
  <si>
    <t>ARCÓN CONSTRUCCIONES S.R.L.</t>
  </si>
  <si>
    <t>DELTEC INGENIERÍA S.A.</t>
  </si>
  <si>
    <t>NORVAL OBRAS CIVILES S.R.L.</t>
  </si>
  <si>
    <t>PRIMUS CONSTRUCTORA S.A.</t>
  </si>
  <si>
    <t>CELTEC SERVICIOS S.R.L.</t>
  </si>
  <si>
    <t>MAGNA OBRAS S.A.</t>
  </si>
  <si>
    <t>FORTIS CONSTRUCCIONES S.R.L.</t>
  </si>
  <si>
    <t>NEXO INGENIERÍA S.A.</t>
  </si>
  <si>
    <t>ALTOS DEL SUR CONSTRUCCIONES S.R.L.</t>
  </si>
  <si>
    <t>VÉRTICE OBRAS CIVILES S.A.</t>
  </si>
  <si>
    <t>GRUPO TÉRMICA S.R.L.</t>
  </si>
  <si>
    <t>PRAGMA CONSTRUCTORA S.A.</t>
  </si>
  <si>
    <t>SOLUM INGENIERÍA S.R.L.</t>
  </si>
  <si>
    <t>CIMAS DEL PLATA S.A.</t>
  </si>
  <si>
    <t>TEKTON OBRAS S.R.L.</t>
  </si>
  <si>
    <t>POLUX CONSTRUCCIONES S.A.</t>
  </si>
  <si>
    <t>ARCO SUR INGENIERÍA S.R.L.</t>
  </si>
  <si>
    <t>DELTA PRIME S.A.</t>
  </si>
  <si>
    <t>LUMEX CONSTRUCCIONES S.R.L.</t>
  </si>
  <si>
    <t>TERRATEK S.A.</t>
  </si>
  <si>
    <t>NOVUS OBRAS CIVILES S.R.L.</t>
  </si>
  <si>
    <t>GRUPO CÉNIT S.A.</t>
  </si>
  <si>
    <t>ALCÓN INGENIERÍA S.R.L.</t>
  </si>
  <si>
    <t>BRAVEX CONSTRUCCIONES S.A.</t>
  </si>
  <si>
    <t>CÓNDOR OBRAS S.R.L.</t>
  </si>
  <si>
    <t>MÁXIMO INGENIERÍA S.A.</t>
  </si>
  <si>
    <t>PRIMAX CONSTRUCCIONES S.R.L.</t>
  </si>
  <si>
    <t>ZÉNIT OBRAS CIVILES S.A.</t>
  </si>
  <si>
    <t>FULGOR INGENIERÍA S.R.L.</t>
  </si>
  <si>
    <t>ÁGORA CONSTRUCCIONES S.A.</t>
  </si>
  <si>
    <t>HELIX OBRAS S.R.L.</t>
  </si>
  <si>
    <t>AURUS INGENIERÍA S.A.</t>
  </si>
  <si>
    <t>TRIDENT CONSTRUCCIONES S.R.L.</t>
  </si>
  <si>
    <t>CÚSPIDE OBRAS CIVILES S.A.</t>
  </si>
  <si>
    <t>ÓPTIMA INGENIERÍA S.R.L.</t>
  </si>
  <si>
    <t>GRUPO VÓRTEX S.A.</t>
  </si>
  <si>
    <t>NÓRDICA CONSTRUCCIONES S.R.L.</t>
  </si>
  <si>
    <t>COSMOS OBRAS S.A.</t>
  </si>
  <si>
    <t>ÁPEX INGENIERÍA S.R.L.</t>
  </si>
  <si>
    <t>SOLARIS CONSTRUCCIONES S.A.</t>
  </si>
  <si>
    <t>TECTUM OBRAS CIVILES S.R.L.</t>
  </si>
  <si>
    <t>GRUPO MERIDIANO S.A.</t>
  </si>
  <si>
    <t>AUSTRAL INGENIERÍA S.R.L.</t>
  </si>
  <si>
    <t>PALACIO RECONQUISTA, CASA CENTRAL, ANEXO CASA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</si>
</sst>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[$$-2C0A]\ #,##0.00"/>
    <numFmt numFmtId="168" formatCode="dd/mm/yyyy;@"/>
    <numFmt numFmtId="170" formatCode="&quot;$&quot;\ #,##0.00"/>
  </numFmts>
  <fonts count="10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name val="Arial"/>
      <family val="2"/>
    </font>
    <font>
      <b/>
      <sz val="10"/>
      <color rgb="FFFF0000"/>
      <name val="Tahoma"/>
      <family val="2"/>
    </font>
    <font>
      <sz val="9"/>
      <color rgb="FFFF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5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7" fillId="0" borderId="0"/>
    <xf numFmtId="165" fontId="7" fillId="0" borderId="0" applyFont="0" applyFill="0" applyBorder="0" applyAlignment="0" applyProtection="0"/>
    <xf numFmtId="166" fontId="5" fillId="0" borderId="0" applyFont="0" applyFill="0" applyBorder="0" applyAlignment="0" applyProtection="0"/>
  </cellStyleXfs>
  <cellXfs count="72">
    <xf numFmtId="0" fontId="0" fillId="0" borderId="0" xfId="0"/>
    <xf numFmtId="3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4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15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Protection="1">
      <protection locked="0"/>
    </xf>
    <xf numFmtId="3" fontId="3" fillId="0" borderId="1" xfId="0" applyNumberFormat="1" applyFont="1" applyBorder="1" applyAlignment="1" applyProtection="1">
      <alignment horizontal="center" vertical="center" wrapText="1"/>
      <protection locked="0"/>
    </xf>
    <xf numFmtId="3" fontId="4" fillId="0" borderId="1" xfId="0" applyNumberFormat="1" applyFont="1" applyBorder="1" applyAlignment="1" applyProtection="1">
      <alignment horizontal="center" vertical="center" wrapText="1"/>
      <protection locked="0"/>
    </xf>
    <xf numFmtId="167" fontId="3" fillId="0" borderId="1" xfId="0" applyNumberFormat="1" applyFont="1" applyBorder="1" applyAlignment="1" applyProtection="1">
      <alignment horizontal="center" vertical="center" wrapText="1"/>
      <protection locked="0"/>
    </xf>
    <xf numFmtId="14" fontId="3" fillId="0" borderId="1" xfId="0" applyNumberFormat="1" applyFont="1" applyBorder="1" applyAlignment="1" applyProtection="1">
      <alignment horizontal="center" vertical="center" wrapText="1"/>
      <protection locked="0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3" fontId="3" fillId="0" borderId="0" xfId="0" applyNumberFormat="1" applyFont="1" applyAlignment="1" applyProtection="1">
      <alignment horizontal="center" vertical="center" wrapText="1"/>
      <protection locked="0"/>
    </xf>
    <xf numFmtId="10" fontId="3" fillId="0" borderId="0" xfId="0" applyNumberFormat="1" applyFont="1" applyAlignment="1" applyProtection="1">
      <alignment horizontal="center" vertical="center" wrapText="1"/>
      <protection locked="0"/>
    </xf>
    <xf numFmtId="168" fontId="3" fillId="0" borderId="0" xfId="0" applyNumberFormat="1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5" fontId="3" fillId="0" borderId="0" xfId="0" applyNumberFormat="1" applyFont="1" applyAlignment="1" applyProtection="1">
      <alignment horizontal="center" vertical="center"/>
      <protection locked="0"/>
    </xf>
    <xf numFmtId="1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14" fontId="3" fillId="0" borderId="0" xfId="0" applyNumberFormat="1" applyFont="1" applyAlignment="1" applyProtection="1">
      <alignment horizontal="center" vertical="center"/>
      <protection locked="0"/>
    </xf>
    <xf numFmtId="10" fontId="3" fillId="0" borderId="1" xfId="0" applyNumberFormat="1" applyFont="1" applyBorder="1" applyAlignment="1" applyProtection="1">
      <alignment horizontal="center" vertical="center" wrapText="1"/>
      <protection locked="0"/>
    </xf>
    <xf numFmtId="168" fontId="3" fillId="0" borderId="1" xfId="0" applyNumberFormat="1" applyFont="1" applyBorder="1" applyAlignment="1" applyProtection="1">
      <alignment horizontal="center" vertical="center" wrapText="1"/>
      <protection locked="0"/>
    </xf>
    <xf numFmtId="170" fontId="3" fillId="0" borderId="1" xfId="0" applyNumberFormat="1" applyFont="1" applyBorder="1" applyAlignment="1" applyProtection="1">
      <alignment horizontal="center" vertical="center" wrapText="1"/>
      <protection locked="0"/>
    </xf>
    <xf numFmtId="15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 applyProtection="1">
      <alignment horizontal="center" vertical="center" wrapText="1"/>
      <protection locked="0"/>
    </xf>
    <xf numFmtId="1" fontId="3" fillId="0" borderId="1" xfId="0" applyNumberFormat="1" applyFont="1" applyBorder="1" applyAlignment="1">
      <alignment horizontal="center" vertical="center" wrapText="1"/>
    </xf>
    <xf numFmtId="10" fontId="3" fillId="0" borderId="1" xfId="2" applyNumberFormat="1" applyFont="1" applyFill="1" applyBorder="1" applyAlignment="1" applyProtection="1">
      <alignment horizontal="center" vertical="center" wrapText="1"/>
      <protection locked="0"/>
    </xf>
    <xf numFmtId="3" fontId="3" fillId="0" borderId="2" xfId="0" applyNumberFormat="1" applyFont="1" applyBorder="1" applyAlignment="1" applyProtection="1">
      <alignment horizontal="center" vertical="center" wrapText="1"/>
      <protection locked="0"/>
    </xf>
    <xf numFmtId="167" fontId="2" fillId="3" borderId="1" xfId="0" applyNumberFormat="1" applyFont="1" applyFill="1" applyBorder="1" applyAlignment="1" applyProtection="1">
      <alignment horizontal="right" vertical="center" wrapText="1"/>
      <protection locked="0"/>
    </xf>
    <xf numFmtId="14" fontId="2" fillId="3" borderId="1" xfId="0" applyNumberFormat="1" applyFont="1" applyFill="1" applyBorder="1" applyAlignment="1" applyProtection="1">
      <alignment horizontal="right" vertical="center" wrapText="1"/>
      <protection locked="0"/>
    </xf>
    <xf numFmtId="167" fontId="3" fillId="0" borderId="0" xfId="0" applyNumberFormat="1" applyFont="1" applyAlignment="1" applyProtection="1">
      <alignment horizontal="right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67" fontId="3" fillId="0" borderId="1" xfId="0" applyNumberFormat="1" applyFont="1" applyBorder="1" applyAlignment="1" applyProtection="1">
      <alignment horizontal="right" vertical="center" wrapText="1"/>
      <protection locked="0"/>
    </xf>
    <xf numFmtId="170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170" fontId="3" fillId="0" borderId="0" xfId="0" applyNumberFormat="1" applyFont="1" applyAlignment="1" applyProtection="1">
      <alignment horizontal="center" vertical="center" wrapText="1"/>
      <protection locked="0"/>
    </xf>
    <xf numFmtId="165" fontId="3" fillId="0" borderId="1" xfId="0" applyNumberFormat="1" applyFont="1" applyBorder="1" applyAlignment="1" applyProtection="1">
      <alignment horizontal="right" vertical="center" wrapText="1"/>
      <protection locked="0"/>
    </xf>
    <xf numFmtId="3" fontId="3" fillId="0" borderId="1" xfId="6" applyNumberFormat="1" applyFont="1" applyFill="1" applyBorder="1" applyAlignment="1" applyProtection="1">
      <alignment horizontal="center" vertical="center" wrapText="1"/>
      <protection locked="0"/>
    </xf>
    <xf numFmtId="165" fontId="3" fillId="0" borderId="1" xfId="1" applyFont="1" applyFill="1" applyBorder="1" applyAlignment="1" applyProtection="1">
      <alignment horizontal="center" vertical="center" wrapText="1"/>
      <protection locked="0"/>
    </xf>
    <xf numFmtId="165" fontId="3" fillId="0" borderId="1" xfId="1" applyFont="1" applyFill="1" applyBorder="1" applyAlignment="1" applyProtection="1">
      <alignment horizontal="right" vertical="center" wrapText="1"/>
      <protection locked="0"/>
    </xf>
    <xf numFmtId="3" fontId="3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 applyProtection="1">
      <alignment horizontal="center" vertical="center" wrapText="1"/>
      <protection locked="0"/>
    </xf>
    <xf numFmtId="1" fontId="3" fillId="0" borderId="1" xfId="0" applyNumberFormat="1" applyFont="1" applyBorder="1" applyAlignment="1" applyProtection="1">
      <alignment horizontal="center" vertical="center" wrapText="1"/>
      <protection locked="0"/>
    </xf>
    <xf numFmtId="166" fontId="3" fillId="0" borderId="1" xfId="0" applyNumberFormat="1" applyFont="1" applyBorder="1" applyAlignment="1" applyProtection="1">
      <alignment horizontal="right" vertical="center" wrapText="1"/>
      <protection locked="0"/>
    </xf>
    <xf numFmtId="3" fontId="1" fillId="0" borderId="1" xfId="0" applyNumberFormat="1" applyFont="1" applyBorder="1" applyAlignment="1" applyProtection="1">
      <alignment horizontal="center" vertical="center" wrapText="1"/>
      <protection locked="0"/>
    </xf>
    <xf numFmtId="167" fontId="9" fillId="0" borderId="1" xfId="0" applyNumberFormat="1" applyFont="1" applyBorder="1" applyAlignment="1" applyProtection="1">
      <alignment horizontal="center" vertical="center" wrapText="1"/>
      <protection locked="0"/>
    </xf>
    <xf numFmtId="15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0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68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3" fontId="6" fillId="0" borderId="1" xfId="0" applyNumberFormat="1" applyFont="1" applyBorder="1" applyAlignment="1" applyProtection="1">
      <alignment horizontal="center" vertical="center" wrapText="1"/>
      <protection locked="0"/>
    </xf>
    <xf numFmtId="3" fontId="2" fillId="0" borderId="1" xfId="0" applyNumberFormat="1" applyFont="1" applyBorder="1" applyAlignment="1" applyProtection="1">
      <alignment horizontal="center" vertical="center" wrapText="1"/>
      <protection locked="0"/>
    </xf>
    <xf numFmtId="3" fontId="8" fillId="4" borderId="1" xfId="0" applyNumberFormat="1" applyFont="1" applyFill="1" applyBorder="1" applyAlignment="1" applyProtection="1">
      <alignment horizontal="center" vertical="center" wrapText="1"/>
      <protection locked="0"/>
    </xf>
    <xf numFmtId="3" fontId="8" fillId="0" borderId="1" xfId="0" applyNumberFormat="1" applyFont="1" applyBorder="1" applyAlignment="1" applyProtection="1">
      <alignment horizontal="center" vertical="center" wrapText="1"/>
      <protection locked="0"/>
    </xf>
    <xf numFmtId="3" fontId="3" fillId="0" borderId="1" xfId="0" applyNumberFormat="1" applyFont="1" applyBorder="1" applyAlignment="1" applyProtection="1">
      <alignment horizontal="center" vertical="center"/>
      <protection locked="0"/>
    </xf>
    <xf numFmtId="170" fontId="3" fillId="0" borderId="1" xfId="1" applyNumberFormat="1" applyFont="1" applyBorder="1" applyAlignment="1" applyProtection="1">
      <alignment horizontal="center" vertical="center" wrapText="1"/>
      <protection locked="0"/>
    </xf>
    <xf numFmtId="3" fontId="3" fillId="5" borderId="1" xfId="0" applyNumberFormat="1" applyFont="1" applyFill="1" applyBorder="1" applyAlignment="1" applyProtection="1">
      <alignment horizontal="center" vertical="center" wrapText="1"/>
      <protection locked="0"/>
    </xf>
    <xf numFmtId="3" fontId="4" fillId="5" borderId="1" xfId="0" applyNumberFormat="1" applyFont="1" applyFill="1" applyBorder="1" applyAlignment="1" applyProtection="1">
      <alignment horizontal="center" vertical="center" wrapText="1"/>
      <protection locked="0"/>
    </xf>
    <xf numFmtId="170" fontId="3" fillId="5" borderId="1" xfId="0" applyNumberFormat="1" applyFont="1" applyFill="1" applyBorder="1" applyAlignment="1" applyProtection="1">
      <alignment horizontal="center" vertical="center" wrapText="1"/>
      <protection locked="0"/>
    </xf>
    <xf numFmtId="14" fontId="3" fillId="5" borderId="1" xfId="0" applyNumberFormat="1" applyFont="1" applyFill="1" applyBorder="1" applyAlignment="1" applyProtection="1">
      <alignment horizontal="center" vertical="center" wrapText="1"/>
      <protection locked="0"/>
    </xf>
    <xf numFmtId="14" fontId="3" fillId="5" borderId="1" xfId="0" applyNumberFormat="1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 applyProtection="1">
      <alignment horizontal="center" vertical="center" wrapText="1"/>
      <protection locked="0"/>
    </xf>
    <xf numFmtId="10" fontId="3" fillId="5" borderId="1" xfId="0" applyNumberFormat="1" applyFont="1" applyFill="1" applyBorder="1" applyAlignment="1" applyProtection="1">
      <alignment horizontal="center" vertical="center" wrapText="1"/>
      <protection locked="0"/>
    </xf>
    <xf numFmtId="168" fontId="3" fillId="5" borderId="1" xfId="0" applyNumberFormat="1" applyFont="1" applyFill="1" applyBorder="1" applyAlignment="1" applyProtection="1">
      <alignment horizontal="center" vertical="center" wrapText="1"/>
      <protection locked="0"/>
    </xf>
    <xf numFmtId="3" fontId="3" fillId="5" borderId="1" xfId="0" applyNumberFormat="1" applyFont="1" applyFill="1" applyBorder="1" applyAlignment="1" applyProtection="1">
      <alignment horizontal="center" vertical="center"/>
      <protection locked="0"/>
    </xf>
  </cellXfs>
  <cellStyles count="7">
    <cellStyle name="Millares" xfId="6" builtinId="3"/>
    <cellStyle name="Moneda" xfId="1" builtinId="4"/>
    <cellStyle name="Moneda 2" xfId="5" xr:uid="{3AA5CE5C-CC05-4574-8402-616EB2CCF461}"/>
    <cellStyle name="Normal" xfId="0" builtinId="0"/>
    <cellStyle name="Normal 2" xfId="3" xr:uid="{4C35B458-EF17-4872-AF01-C594FD7468AD}"/>
    <cellStyle name="Normal 3" xfId="4" xr:uid="{AC27749B-12D0-4942-9EDC-90ECBC662D81}"/>
    <cellStyle name="Porcentaje" xfId="2" builtinId="5"/>
  </cellStyles>
  <dxfs count="1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68" formatCode="dd/mm/yy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67" formatCode="[$$-2C0A]\ 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67" formatCode="[$$-2C0A]\ 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67" formatCode="[$$-2C0A]\ 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67" formatCode="[$$-2C0A]\ 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67" formatCode="[$$-2C0A]\ #,##0.00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67" formatCode="[$$-2C0A]\ 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67" formatCode="[$$-2C0A]\ 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67" formatCode="[$$-2C0A]\ 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67" formatCode="[$$-2C0A]\ 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67" formatCode="[$$-2C0A]\ 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20" formatCode="d\-mmm\-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20" formatCode="d\-mmm\-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20" formatCode="d\-mmm\-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9" formatCode="d/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9" formatCode="d/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9" formatCode="d/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9" formatCode="d/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9" formatCode="d/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9" formatCode="d/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9" formatCode="d/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9" formatCode="d/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9" formatCode="d/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70" formatCode="&quot;$&quot;\ 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68" formatCode="dd/mm/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65" formatCode="_ &quot;$&quot;\ * #,##0.00_ ;_ &quot;$&quot;\ * \-#,##0.00_ ;_ &quot;$&quot;\ * &quot;-&quot;??_ ;_ @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65" formatCode="_ &quot;$&quot;\ * #,##0.00_ ;_ &quot;$&quot;\ * \-#,##0.00_ ;_ &quot;$&quot;\ * &quot;-&quot;??_ ;_ @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65" formatCode="_ &quot;$&quot;\ * #,##0.00_ ;_ &quot;$&quot;\ * \-#,##0.00_ ;_ &quot;$&quot;\ * &quot;-&quot;??_ ;_ @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65" formatCode="_ &quot;$&quot;\ * #,##0.00_ ;_ &quot;$&quot;\ * \-#,##0.00_ ;_ &quot;$&quot;\ * &quot;-&quot;??_ ;_ @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65" formatCode="_ &quot;$&quot;\ * #,##0.00_ ;_ &quot;$&quot;\ * \-#,##0.00_ ;_ &quot;$&quot;\ * &quot;-&quot;??_ ;_ @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65" formatCode="_ &quot;$&quot;\ * #,##0.00_ ;_ &quot;$&quot;\ * \-#,##0.00_ ;_ &quot;$&quot;\ * &quot;-&quot;??_ ;_ @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65" formatCode="_ &quot;$&quot;\ * #,##0.00_ ;_ &quot;$&quot;\ * \-#,##0.00_ ;_ &quot;$&quot;\ * &quot;-&quot;??_ ;_ @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65" formatCode="_ &quot;$&quot;\ * #,##0.00_ ;_ &quot;$&quot;\ * \-#,##0.00_ ;_ &quot;$&quot;\ * &quot;-&quot;??_ ;_ @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65" formatCode="_ &quot;$&quot;\ * #,##0.00_ ;_ &quot;$&quot;\ * \-#,##0.00_ ;_ &quot;$&quot;\ * &quot;-&quot;??_ ;_ @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65" formatCode="_ &quot;$&quot;\ * #,##0.00_ ;_ &quot;$&quot;\ * \-#,##0.00_ ;_ &quot;$&quot;\ * &quot;-&quot;??_ ;_ @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z val="9"/>
        <color auto="1"/>
        <name val="Tahoma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70" formatCode="&quot;$&quot;\ #,##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66FFFF"/>
      <color rgb="FFC5FFFF"/>
      <color rgb="FFCCFFFF"/>
      <color rgb="FFFFFF99"/>
      <color rgb="FFB3FFFF"/>
      <color rgb="FFBDFFFF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ba.usr.bpba\files\1335ContrataciondeObras\OFICINA%20DE%20SEGUIMIENTO%20ADMINISTRATIVO%20DE%20OBRAS\LISTADO%20PRIVADAS\SEGUIMIENTO%20DE%20LICITACIONES%20PRIVADAS%20VIGENTES%202022%20-%20copi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file07\Files\1335ContrataciondeObras\OFICINA%20DE%20SEGUIMIENTO%20ADMINISTRATIVO%20DE%20OBRAS\PRIVADAS\Listado%20de%20Expte%20%20Privada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ba.usr.bpba\files\Documents%20and%20Settings\p076539\Configuraci&#243;n%20local\Archivos%20temporales%20de%20Internet\OLK2D\Listado%20de%20Expte%20%20publica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"/>
      <sheetName val="SEGUIMIENTO"/>
      <sheetName val="PRIVADAS VIGENTES AL 2022"/>
    </sheetNames>
    <sheetDataSet>
      <sheetData sheetId="0">
        <row r="2">
          <cell r="A2" t="str">
            <v>FERNANDEZ</v>
          </cell>
        </row>
        <row r="3">
          <cell r="A3" t="str">
            <v>FORCINITI</v>
          </cell>
        </row>
        <row r="4">
          <cell r="A4" t="str">
            <v>IGNATTI</v>
          </cell>
        </row>
        <row r="5">
          <cell r="A5" t="str">
            <v>RIZZARDI</v>
          </cell>
        </row>
        <row r="6">
          <cell r="A6" t="str">
            <v>HERNANDEZ</v>
          </cell>
        </row>
        <row r="7">
          <cell r="A7" t="str">
            <v>URRETA</v>
          </cell>
        </row>
        <row r="8">
          <cell r="A8" t="str">
            <v>BERNAL</v>
          </cell>
        </row>
        <row r="9">
          <cell r="A9" t="str">
            <v>ZUNINO</v>
          </cell>
        </row>
        <row r="22">
          <cell r="A22" t="str">
            <v>EN PROCESO</v>
          </cell>
        </row>
        <row r="23">
          <cell r="A23" t="str">
            <v>EJECUCIÓN</v>
          </cell>
        </row>
        <row r="24">
          <cell r="A24" t="str">
            <v>REC. PROV.</v>
          </cell>
        </row>
        <row r="25">
          <cell r="A25" t="str">
            <v>REC. DEF.</v>
          </cell>
        </row>
        <row r="26">
          <cell r="A26" t="str">
            <v xml:space="preserve">RECLAMAR DEFINITIVA </v>
          </cell>
        </row>
        <row r="27">
          <cell r="A27" t="str">
            <v>RESCINDIDO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3"/>
      <sheetName val="SEGUIMIENTO"/>
      <sheetName val="LISTAS"/>
      <sheetName val="2014"/>
    </sheetNames>
    <sheetDataSet>
      <sheetData sheetId="0">
        <row r="2">
          <cell r="B2">
            <v>89675</v>
          </cell>
          <cell r="C2">
            <v>10489</v>
          </cell>
          <cell r="D2" t="str">
            <v>TORRES</v>
          </cell>
          <cell r="E2" t="str">
            <v xml:space="preserve">AMPLIACION DE SUPERFICIE, NUEVO LOBBY Y ADECUACION DE CAJAS DE TESORERIA </v>
          </cell>
          <cell r="F2" t="str">
            <v>SUCURSAL Y JURIDICA AZUL</v>
          </cell>
          <cell r="G2">
            <v>100</v>
          </cell>
          <cell r="H2" t="str">
            <v>NALSY</v>
          </cell>
          <cell r="I2">
            <v>379840</v>
          </cell>
          <cell r="K2" t="str">
            <v>REC. DEF.</v>
          </cell>
          <cell r="L2">
            <v>40214</v>
          </cell>
          <cell r="M2">
            <v>40214</v>
          </cell>
          <cell r="T2">
            <v>40238</v>
          </cell>
          <cell r="X2">
            <v>40593</v>
          </cell>
          <cell r="Z2">
            <v>40593</v>
          </cell>
          <cell r="AA2">
            <v>40773</v>
          </cell>
          <cell r="AD2">
            <v>56878.55</v>
          </cell>
          <cell r="AE2" t="str">
            <v>$ 22.839,53</v>
          </cell>
          <cell r="AJ2" t="str">
            <v>Para cierre</v>
          </cell>
        </row>
        <row r="3">
          <cell r="B3">
            <v>90982</v>
          </cell>
          <cell r="C3">
            <v>10515</v>
          </cell>
          <cell r="D3" t="str">
            <v>TORRES</v>
          </cell>
          <cell r="E3" t="str">
            <v>MODIFICACION DE LA INSTALACION DE AºAº</v>
          </cell>
          <cell r="F3" t="str">
            <v>SUCURSAL VILLA CRESPO</v>
          </cell>
          <cell r="G3">
            <v>90</v>
          </cell>
          <cell r="H3" t="str">
            <v>GRIM CONSTRUCTORA SA</v>
          </cell>
          <cell r="I3">
            <v>587135.17000000004</v>
          </cell>
          <cell r="K3" t="str">
            <v>REC. DEF.</v>
          </cell>
          <cell r="L3">
            <v>40305</v>
          </cell>
          <cell r="M3">
            <v>40312</v>
          </cell>
          <cell r="T3">
            <v>40343</v>
          </cell>
          <cell r="X3">
            <v>40491</v>
          </cell>
          <cell r="Z3">
            <v>40653</v>
          </cell>
          <cell r="AA3">
            <v>41384</v>
          </cell>
          <cell r="AE3">
            <v>25515.08</v>
          </cell>
          <cell r="AJ3" t="str">
            <v xml:space="preserve">obra con definitiva </v>
          </cell>
        </row>
        <row r="4">
          <cell r="B4">
            <v>94666</v>
          </cell>
          <cell r="C4">
            <v>10622</v>
          </cell>
          <cell r="D4" t="str">
            <v>ZUNINO</v>
          </cell>
          <cell r="E4" t="str">
            <v>READECUACION  DE  OFFICE Y OFICINA</v>
          </cell>
          <cell r="F4" t="str">
            <v>CASA CENTRAL.E.P. 1ºSS.             SECTOR A.</v>
          </cell>
          <cell r="G4">
            <v>45</v>
          </cell>
          <cell r="H4" t="str">
            <v>CONCEPTO M</v>
          </cell>
          <cell r="I4">
            <v>150968.25</v>
          </cell>
          <cell r="K4" t="str">
            <v>REC. PROV.</v>
          </cell>
          <cell r="L4">
            <v>40528</v>
          </cell>
          <cell r="M4">
            <v>40527</v>
          </cell>
          <cell r="T4">
            <v>40540</v>
          </cell>
          <cell r="X4">
            <v>40610</v>
          </cell>
          <cell r="Z4">
            <v>40610</v>
          </cell>
          <cell r="AA4">
            <v>40975</v>
          </cell>
          <cell r="AD4">
            <v>34722.69</v>
          </cell>
          <cell r="AJ4" t="str">
            <v>Con fecha 04-06-12 se envia a técnica por Recep. Definitiva</v>
          </cell>
        </row>
        <row r="5">
          <cell r="B5">
            <v>97707</v>
          </cell>
          <cell r="C5">
            <v>10628</v>
          </cell>
          <cell r="D5" t="str">
            <v>RIZZARDI</v>
          </cell>
          <cell r="E5" t="str">
            <v>PROVISION Y COLOCACION DE UN GRUPO ELECTROGENO, INSTALACIONES ANEXAS Y TAREAS COMPLEMENTARIAS</v>
          </cell>
          <cell r="F5" t="str">
            <v>EDIFICIO CASA CENTRAL</v>
          </cell>
          <cell r="G5">
            <v>90</v>
          </cell>
          <cell r="H5" t="str">
            <v>TURBODISEL SA</v>
          </cell>
          <cell r="I5">
            <v>413538.24</v>
          </cell>
          <cell r="K5" t="str">
            <v>REC. PROV.</v>
          </cell>
          <cell r="L5">
            <v>40703</v>
          </cell>
          <cell r="M5">
            <v>40703</v>
          </cell>
          <cell r="O5">
            <v>40709</v>
          </cell>
          <cell r="Q5" t="str">
            <v>xx</v>
          </cell>
          <cell r="R5">
            <v>40711</v>
          </cell>
          <cell r="T5">
            <v>40717</v>
          </cell>
          <cell r="U5">
            <v>40807</v>
          </cell>
          <cell r="W5">
            <v>10</v>
          </cell>
          <cell r="X5">
            <v>40817</v>
          </cell>
          <cell r="Z5">
            <v>40817</v>
          </cell>
          <cell r="AA5">
            <v>41182</v>
          </cell>
          <cell r="AD5" t="str">
            <v>$ 8.245.-</v>
          </cell>
          <cell r="AE5">
            <v>2950</v>
          </cell>
          <cell r="AG5">
            <v>2754.15</v>
          </cell>
          <cell r="AJ5" t="str">
            <v xml:space="preserve">Pendiente culminación trámite municipal - </v>
          </cell>
        </row>
        <row r="6">
          <cell r="B6">
            <v>95702</v>
          </cell>
          <cell r="C6">
            <v>10648</v>
          </cell>
          <cell r="D6" t="str">
            <v>FORCINITI</v>
          </cell>
          <cell r="E6" t="str">
            <v>PROVISION, INSTALACION Y PUESTA EN SERVICIO DE UN CABLEADO ESTRUCTURADO DE VOZ Y DATOS, RED-499</v>
          </cell>
          <cell r="F6" t="str">
            <v xml:space="preserve">CENTRO ZONAL BAHIA BLANCA </v>
          </cell>
          <cell r="G6">
            <v>30</v>
          </cell>
          <cell r="H6" t="str">
            <v>SYSTEMNET S.A.</v>
          </cell>
          <cell r="I6">
            <v>83487.679999999993</v>
          </cell>
          <cell r="K6" t="str">
            <v>REC. DEF.</v>
          </cell>
          <cell r="L6">
            <v>40574</v>
          </cell>
          <cell r="M6">
            <v>40595</v>
          </cell>
          <cell r="T6">
            <v>40576</v>
          </cell>
          <cell r="X6">
            <v>40816</v>
          </cell>
          <cell r="Z6">
            <v>40816</v>
          </cell>
          <cell r="AA6">
            <v>41547</v>
          </cell>
          <cell r="AB6">
            <v>41548</v>
          </cell>
          <cell r="AJ6" t="str">
            <v>con  definitiva.</v>
          </cell>
        </row>
        <row r="7">
          <cell r="B7">
            <v>96811</v>
          </cell>
          <cell r="C7">
            <v>10678</v>
          </cell>
          <cell r="D7" t="str">
            <v>TORRES</v>
          </cell>
          <cell r="E7" t="str">
            <v>PROVISIÓN Y COLOCACION Y/O CAMBIO DE GRAFICA DE CARTELES EN FRENTES DE FACHADAS Y CARTELES SALIENTES</v>
          </cell>
          <cell r="F7" t="str">
            <v xml:space="preserve">SUCURSALES VARIAS - ZONAS GRAN BS. AS. E INTERIOR </v>
          </cell>
          <cell r="G7">
            <v>60</v>
          </cell>
          <cell r="H7" t="str">
            <v>MARKA COMUNICACIONES GRÁFICAS SA</v>
          </cell>
          <cell r="I7">
            <v>82072.320000000007</v>
          </cell>
          <cell r="K7" t="str">
            <v>REC. PROV.</v>
          </cell>
          <cell r="L7">
            <v>40647</v>
          </cell>
          <cell r="M7">
            <v>40661</v>
          </cell>
          <cell r="T7">
            <v>40674</v>
          </cell>
          <cell r="X7">
            <v>40756</v>
          </cell>
          <cell r="Z7">
            <v>40756</v>
          </cell>
          <cell r="AA7">
            <v>40936</v>
          </cell>
          <cell r="AD7">
            <v>24066.04</v>
          </cell>
          <cell r="AJ7" t="str">
            <v xml:space="preserve">Con fecha 04/06/12 se envia al tecnico por definitiva. </v>
          </cell>
        </row>
        <row r="8">
          <cell r="B8">
            <v>100275</v>
          </cell>
          <cell r="C8">
            <v>10696</v>
          </cell>
          <cell r="D8" t="str">
            <v>RIZZARDI</v>
          </cell>
          <cell r="E8" t="str">
            <v>TRABAJOS DE CAMBIO DE HOJAS DE PUERTAS, PAÑOS FIJOS Y PUERTAS CORREDIZAS</v>
          </cell>
          <cell r="F8" t="str">
            <v xml:space="preserve">SUCURSALES VARIAS </v>
          </cell>
          <cell r="G8">
            <v>60</v>
          </cell>
          <cell r="H8" t="str">
            <v>AMERCIAN TINT de Mariano Landarte</v>
          </cell>
          <cell r="I8">
            <v>212350</v>
          </cell>
          <cell r="K8" t="str">
            <v>REC. PROV.</v>
          </cell>
          <cell r="L8">
            <v>40772</v>
          </cell>
          <cell r="M8">
            <v>40834</v>
          </cell>
          <cell r="T8">
            <v>40815</v>
          </cell>
          <cell r="X8">
            <v>40875</v>
          </cell>
          <cell r="Z8">
            <v>40907</v>
          </cell>
          <cell r="AA8">
            <v>40997</v>
          </cell>
          <cell r="AD8">
            <v>20607.419999999998</v>
          </cell>
          <cell r="AJ8" t="str">
            <v>CON DEFINITIVA. Con fecha 29/10/2013 se eleva economia y se devuelven garantias</v>
          </cell>
        </row>
        <row r="9">
          <cell r="B9">
            <v>98042</v>
          </cell>
          <cell r="C9">
            <v>10705</v>
          </cell>
          <cell r="D9" t="str">
            <v>FERNANDEZ</v>
          </cell>
          <cell r="E9" t="str">
            <v>SISTEMA DE AIRE ACONDICIONADO Y EXTRACCIÓN DE GASES PARA NUEVOS RECINTOS DE UPS Y BATERÍAS</v>
          </cell>
          <cell r="F9" t="str">
            <v>EDIFICIO GUANAHANI 2° NIVEL "A-B".-</v>
          </cell>
          <cell r="G9">
            <v>60</v>
          </cell>
          <cell r="H9" t="str">
            <v>AIR CENTER</v>
          </cell>
          <cell r="I9">
            <v>342036</v>
          </cell>
          <cell r="K9" t="str">
            <v>REC. DEF.</v>
          </cell>
          <cell r="L9">
            <v>40715</v>
          </cell>
          <cell r="M9">
            <v>40721</v>
          </cell>
          <cell r="T9">
            <v>40721</v>
          </cell>
          <cell r="X9">
            <v>40781</v>
          </cell>
          <cell r="Z9">
            <v>40781</v>
          </cell>
          <cell r="AA9">
            <v>41146</v>
          </cell>
          <cell r="AJ9" t="str">
            <v>Obra con Recep. Definitiva</v>
          </cell>
        </row>
        <row r="10">
          <cell r="B10">
            <v>100642</v>
          </cell>
          <cell r="C10">
            <v>10718</v>
          </cell>
          <cell r="D10" t="str">
            <v>RIZZARDI</v>
          </cell>
          <cell r="E10" t="str">
            <v xml:space="preserve">PROVISION E INSTALACION DE UN ASCENSOR </v>
          </cell>
          <cell r="F10" t="str">
            <v>SUCURSAL SAN JUSTO</v>
          </cell>
          <cell r="G10">
            <v>120</v>
          </cell>
          <cell r="H10" t="str">
            <v>N Y S SRL</v>
          </cell>
          <cell r="I10">
            <v>473000</v>
          </cell>
          <cell r="K10" t="str">
            <v>REC. PROV.</v>
          </cell>
          <cell r="L10">
            <v>40772</v>
          </cell>
          <cell r="M10">
            <v>40931</v>
          </cell>
          <cell r="P10">
            <v>41297</v>
          </cell>
          <cell r="T10">
            <v>40798</v>
          </cell>
          <cell r="X10">
            <v>41100</v>
          </cell>
          <cell r="Z10">
            <v>41100</v>
          </cell>
          <cell r="AA10">
            <v>41667</v>
          </cell>
          <cell r="AD10" t="str">
            <v>$ 27.151.-</v>
          </cell>
          <cell r="AJ10" t="str">
            <v xml:space="preserve">Con fecha 04/07/2013 se envia a técnica por definitiva </v>
          </cell>
        </row>
        <row r="11">
          <cell r="B11">
            <v>99098</v>
          </cell>
          <cell r="C11">
            <v>10724</v>
          </cell>
          <cell r="D11" t="str">
            <v>FERNANDEZ</v>
          </cell>
          <cell r="E11" t="str">
            <v xml:space="preserve">CONSTRUCCION DEL AREA DESTINADA AL CENTRO DE MONITOREO DE SEGURIDAD </v>
          </cell>
          <cell r="F11" t="str">
            <v>CASA CENTRAL - ENTREPISO s/1º SS</v>
          </cell>
          <cell r="G11">
            <v>45</v>
          </cell>
          <cell r="H11" t="str">
            <v xml:space="preserve">COMEXIM </v>
          </cell>
          <cell r="I11">
            <v>831559.3</v>
          </cell>
          <cell r="K11" t="str">
            <v>REC. DEF.</v>
          </cell>
          <cell r="L11">
            <v>40759</v>
          </cell>
          <cell r="M11">
            <v>40773</v>
          </cell>
          <cell r="T11">
            <v>40774</v>
          </cell>
          <cell r="X11">
            <v>40900</v>
          </cell>
          <cell r="Z11">
            <v>40906</v>
          </cell>
          <cell r="AA11">
            <v>41087</v>
          </cell>
          <cell r="AD11">
            <v>164529.10999999999</v>
          </cell>
          <cell r="AE11">
            <v>99303.6</v>
          </cell>
          <cell r="AJ11" t="str">
            <v>Obra con Recep. Definitiva</v>
          </cell>
        </row>
        <row r="12">
          <cell r="B12">
            <v>100245</v>
          </cell>
          <cell r="C12">
            <v>10761</v>
          </cell>
          <cell r="D12" t="str">
            <v>FORCINITI</v>
          </cell>
          <cell r="E12" t="str">
            <v xml:space="preserve">PROVISION, INSTALACION Y PUESTA EN SERVICIO DE CABLEADOS ESTRUCTURADOS </v>
          </cell>
          <cell r="F12" t="str">
            <v>FILIALES: CAR INDEPENDENCIA, LOS POLVORINES, TEMPERLEY, SALADILLO, GRAL. RODRIGUEZ, JOSE C. PAZ, LOBOS E ITUZAINGO</v>
          </cell>
          <cell r="G12" t="str">
            <v>ITEM 1: 15 DS. CS., ITEM 2: 35 DS. CS., ITEM 3/8: 45 DS. CS.</v>
          </cell>
          <cell r="H12" t="str">
            <v>R Y S SERVICIOS INFORMATICOS DE PEREZ SANTANGELO</v>
          </cell>
          <cell r="I12">
            <v>25899.5</v>
          </cell>
          <cell r="K12" t="str">
            <v>REC. PROV.</v>
          </cell>
          <cell r="L12">
            <v>40835</v>
          </cell>
          <cell r="M12">
            <v>40834</v>
          </cell>
          <cell r="T12">
            <v>40841</v>
          </cell>
          <cell r="X12">
            <v>40856</v>
          </cell>
          <cell r="Z12">
            <v>40844</v>
          </cell>
          <cell r="AA12">
            <v>41575</v>
          </cell>
          <cell r="AD12" t="str">
            <v>$ 2.482,-</v>
          </cell>
          <cell r="AJ12" t="str">
            <v xml:space="preserve">Obra con Provisoria y en garantía </v>
          </cell>
        </row>
        <row r="13">
          <cell r="B13">
            <v>100248</v>
          </cell>
          <cell r="C13">
            <v>10761</v>
          </cell>
          <cell r="D13" t="str">
            <v>FORCINITI</v>
          </cell>
          <cell r="E13" t="str">
            <v xml:space="preserve">PROVISION, INSTALACION Y PUESTA EN SERVICIO DE CABLEADOS ESTRUCTURADOS </v>
          </cell>
          <cell r="F13" t="str">
            <v>FILIALES: CAR INDEPENDENCIA, LOS POLVORINES, TEMPERLEY, SALADILLO, GRAL. RODRIGUEZ, JOSE C. PAZ, LOBOS E ITUZAINGO</v>
          </cell>
          <cell r="G13" t="str">
            <v>ITEM 1: 15 DS. CS., ITEM 2: 35 DS. CS., ITEM 3/8: 45 DS. CS.</v>
          </cell>
          <cell r="H13" t="str">
            <v>VOZ Y DATOS SRL</v>
          </cell>
          <cell r="I13">
            <v>236251.9</v>
          </cell>
          <cell r="K13" t="str">
            <v>REC. PROV.</v>
          </cell>
          <cell r="L13">
            <v>40835</v>
          </cell>
          <cell r="M13">
            <v>40834</v>
          </cell>
          <cell r="T13">
            <v>40842</v>
          </cell>
          <cell r="AJ13" t="str">
            <v xml:space="preserve">Trabajos paralizados por falta de avance de obra civil desde el 10/02/2013 </v>
          </cell>
        </row>
        <row r="14">
          <cell r="B14">
            <v>100247</v>
          </cell>
          <cell r="C14">
            <v>10761</v>
          </cell>
          <cell r="D14" t="str">
            <v>FORCINITI</v>
          </cell>
          <cell r="E14" t="str">
            <v xml:space="preserve">PROVISION, INSTALACION Y PUESTA EN SERVICIO DE CABLEADOS ESTRUCTURADOS </v>
          </cell>
          <cell r="F14" t="str">
            <v>FILIALES: CAR INDEPENDENCIA, LOS POLVORINES, TEMPERLEY, SALADILLO, GRAL. RODRIGUEZ, JOSE C. PAZ, LOBOS E ITUZAINGO</v>
          </cell>
          <cell r="G14" t="str">
            <v>ITEM 1: 15 DS. CS., ITEM 2: 35 DS. CS., ITEM 3/8: 45 DS. CS.</v>
          </cell>
          <cell r="H14" t="str">
            <v>SYSTEMNET S.A.</v>
          </cell>
          <cell r="I14">
            <v>159590</v>
          </cell>
          <cell r="K14" t="str">
            <v>REC. PROV.</v>
          </cell>
          <cell r="L14">
            <v>40835</v>
          </cell>
          <cell r="M14">
            <v>40834</v>
          </cell>
          <cell r="T14">
            <v>40841</v>
          </cell>
          <cell r="Z14">
            <v>41401</v>
          </cell>
          <cell r="AA14">
            <v>42131</v>
          </cell>
          <cell r="AJ14" t="str">
            <v xml:space="preserve">Obra finalizada y en garantia </v>
          </cell>
        </row>
        <row r="15">
          <cell r="B15">
            <v>100249</v>
          </cell>
          <cell r="C15">
            <v>10761</v>
          </cell>
          <cell r="D15" t="str">
            <v>FORCINITI</v>
          </cell>
          <cell r="E15" t="str">
            <v xml:space="preserve">PROVISION, INSTALACION Y PUESTA EN SERVICIO DE CABLEADOS ESTRUCTURADOS </v>
          </cell>
          <cell r="F15" t="str">
            <v>FILIALES: CAR INDEPENDENCIA, LOS POLVORINES, TEMPERLEY, SALADILLO, GRAL. RODRIGUEZ, JOSE C. PAZ, LOBOS E ITUZAINGO</v>
          </cell>
          <cell r="G15" t="str">
            <v>ITEM 1: 15 DS. CS., ITEM 2: 35 DS. CS., ITEM 3/8: 45 DS. CS.</v>
          </cell>
          <cell r="H15" t="str">
            <v>IP ELECTRO SRL</v>
          </cell>
          <cell r="I15">
            <v>171706</v>
          </cell>
          <cell r="K15" t="str">
            <v>REC. PROV.</v>
          </cell>
          <cell r="L15">
            <v>40835</v>
          </cell>
          <cell r="M15">
            <v>40834</v>
          </cell>
          <cell r="T15">
            <v>40841</v>
          </cell>
          <cell r="X15">
            <v>41122</v>
          </cell>
          <cell r="Z15">
            <v>41320</v>
          </cell>
          <cell r="AA15">
            <v>42050</v>
          </cell>
          <cell r="AD15">
            <v>5219.51</v>
          </cell>
          <cell r="AJ15" t="str">
            <v>Gral Rodriguez tiene provisoria y vence la gtia el 13/11/14 - Ituzaingo:Tiene provisoria de fecha 15/02/2013 (Vto garantía 15/02/2015)</v>
          </cell>
        </row>
        <row r="16">
          <cell r="B16">
            <v>101571</v>
          </cell>
          <cell r="C16">
            <v>10766</v>
          </cell>
          <cell r="D16" t="str">
            <v>FERNANDEZ</v>
          </cell>
          <cell r="E16" t="str">
            <v>TRABAJOS DE PINTURA Y VARIOS EN AREAS COMUNES - DIRECTORIO Y GERENCIA GENERAL</v>
          </cell>
          <cell r="F16" t="str">
            <v>CASA CENTRAL, ANEXO ESQUINA Y MITRE 441</v>
          </cell>
          <cell r="G16">
            <v>180</v>
          </cell>
          <cell r="H16" t="str">
            <v>NALSY</v>
          </cell>
          <cell r="I16">
            <v>589040</v>
          </cell>
          <cell r="K16" t="str">
            <v>REC. PROV.</v>
          </cell>
          <cell r="L16">
            <v>40900</v>
          </cell>
          <cell r="M16">
            <v>40905</v>
          </cell>
          <cell r="T16">
            <v>40907</v>
          </cell>
          <cell r="X16">
            <v>41088</v>
          </cell>
          <cell r="AD16">
            <v>111060</v>
          </cell>
          <cell r="AJ16" t="str">
            <v>Se envia a tecnica 01/08/2013 por cierre</v>
          </cell>
        </row>
        <row r="17">
          <cell r="B17">
            <v>101752</v>
          </cell>
          <cell r="C17">
            <v>10790</v>
          </cell>
          <cell r="D17" t="str">
            <v>FORCINITI</v>
          </cell>
          <cell r="E17" t="str">
            <v>ADECUACION DE BANCAS ELECTRONICAS</v>
          </cell>
          <cell r="F17" t="str">
            <v>SUCURSALES VARIAS - ZONA NORTE</v>
          </cell>
          <cell r="G17">
            <v>45</v>
          </cell>
          <cell r="H17" t="str">
            <v>RS MONTAJES Y OBRAS SRL</v>
          </cell>
          <cell r="I17">
            <v>576592.01</v>
          </cell>
          <cell r="K17" t="str">
            <v>EJECUCION</v>
          </cell>
          <cell r="L17">
            <v>40913</v>
          </cell>
          <cell r="M17">
            <v>40917</v>
          </cell>
          <cell r="T17">
            <v>41136</v>
          </cell>
          <cell r="X17">
            <v>41181</v>
          </cell>
          <cell r="AJ17" t="str">
            <v>Con fecha 25/07/2013 se envio a tecnica a efectos de realizar el cierre de la contratación</v>
          </cell>
        </row>
        <row r="18">
          <cell r="B18">
            <v>101610</v>
          </cell>
          <cell r="C18">
            <v>10795</v>
          </cell>
          <cell r="E18" t="str">
            <v>PINTURA</v>
          </cell>
          <cell r="F18" t="str">
            <v>CASA CENTRAL</v>
          </cell>
          <cell r="K18" t="str">
            <v>REC. DEF.</v>
          </cell>
          <cell r="M18">
            <v>40911</v>
          </cell>
          <cell r="AJ18" t="str">
            <v xml:space="preserve">Obra con Recepción Definitiva </v>
          </cell>
        </row>
        <row r="19">
          <cell r="B19">
            <v>101706</v>
          </cell>
          <cell r="C19">
            <v>10805</v>
          </cell>
          <cell r="D19" t="str">
            <v>FORCINITI</v>
          </cell>
          <cell r="E19" t="str">
            <v>PROVISION E INSTALACION DE MODULOS PARA ARCHIVO DESLIZABLE</v>
          </cell>
          <cell r="F19" t="str">
            <v>EDIFICIO CASA MATRIZ LA PLATA 1 SS</v>
          </cell>
          <cell r="G19">
            <v>30</v>
          </cell>
          <cell r="H19" t="str">
            <v>ARENA MATTIONI</v>
          </cell>
          <cell r="I19">
            <v>170628</v>
          </cell>
          <cell r="K19" t="str">
            <v>REC. PROV.</v>
          </cell>
          <cell r="L19">
            <v>40896</v>
          </cell>
          <cell r="M19">
            <v>40913</v>
          </cell>
          <cell r="T19">
            <v>40911</v>
          </cell>
          <cell r="X19">
            <v>40941</v>
          </cell>
          <cell r="Z19">
            <v>40927</v>
          </cell>
          <cell r="AA19">
            <v>42023</v>
          </cell>
          <cell r="AD19" t="str">
            <v>$ 29340</v>
          </cell>
          <cell r="AJ19" t="str">
            <v xml:space="preserve">Obra con Provisoria y en garantía. </v>
          </cell>
        </row>
        <row r="20">
          <cell r="B20">
            <v>101912</v>
          </cell>
          <cell r="C20">
            <v>10808</v>
          </cell>
          <cell r="D20" t="str">
            <v>FERNANDEZ</v>
          </cell>
          <cell r="E20" t="str">
            <v>PROVISION E INSTALACION DE SISTEMA DE ALARAMA POLICIAL Y ELECTRONICA Y NUEVAS CAJAS DE SEGURIDAD</v>
          </cell>
          <cell r="F20" t="str">
            <v xml:space="preserve">SUCURSALES VARIAS </v>
          </cell>
          <cell r="G20">
            <v>90</v>
          </cell>
          <cell r="H20" t="str">
            <v>DELTA COMUNICACIONES S.R.L.</v>
          </cell>
          <cell r="I20">
            <v>598972.4</v>
          </cell>
          <cell r="K20" t="str">
            <v>REC. DEF.</v>
          </cell>
          <cell r="L20">
            <v>40927</v>
          </cell>
          <cell r="M20">
            <v>40927</v>
          </cell>
          <cell r="T20">
            <v>40940</v>
          </cell>
          <cell r="X20">
            <v>41030</v>
          </cell>
          <cell r="Z20">
            <v>41243</v>
          </cell>
          <cell r="AA20">
            <v>41423</v>
          </cell>
          <cell r="AD20">
            <v>55971</v>
          </cell>
          <cell r="AE20">
            <v>398301.8</v>
          </cell>
          <cell r="AJ20" t="str">
            <v xml:space="preserve">OBRA CON DEFINITIVA </v>
          </cell>
        </row>
        <row r="21">
          <cell r="B21">
            <v>102473</v>
          </cell>
          <cell r="C21">
            <v>10833</v>
          </cell>
          <cell r="D21" t="str">
            <v>ZUNINO</v>
          </cell>
          <cell r="E21" t="str">
            <v>PROV. INSTAL. Y PUESTA EN SERVICIO DE NUEVOS PUESTOS DE RED Y REUBICACION DE PUESTOS EXISTENTES PARA LOBBYS DE ATM`S - RED 518</v>
          </cell>
          <cell r="F21" t="str">
            <v>SUCURSALES VS.</v>
          </cell>
          <cell r="G21">
            <v>120</v>
          </cell>
          <cell r="H21" t="str">
            <v>IP ELECTRO SRL</v>
          </cell>
          <cell r="I21">
            <v>103300</v>
          </cell>
          <cell r="K21" t="str">
            <v>REC. PROV.</v>
          </cell>
          <cell r="L21">
            <v>40980</v>
          </cell>
          <cell r="M21">
            <v>40977</v>
          </cell>
          <cell r="T21">
            <v>40984</v>
          </cell>
          <cell r="W21">
            <v>35</v>
          </cell>
          <cell r="X21">
            <v>41139</v>
          </cell>
          <cell r="Z21">
            <v>41203</v>
          </cell>
          <cell r="AA21" t="str">
            <v>21/10/2014 - 24/6/15 - 13/7/15</v>
          </cell>
          <cell r="AD21" t="str">
            <v>23235,8 / 9863,36</v>
          </cell>
          <cell r="AJ21" t="str">
            <v>OBRA FINALIZADA Y EN GTIA.con adic. c.p.p. de ejec.</v>
          </cell>
        </row>
        <row r="22">
          <cell r="B22">
            <v>102472</v>
          </cell>
          <cell r="C22">
            <v>10834</v>
          </cell>
          <cell r="D22" t="str">
            <v>ZUNINO</v>
          </cell>
          <cell r="E22" t="str">
            <v>PROV. INSTAL. Y PUESTA EN SERVICIO DE NUEVOS PUESTOS DE RED DE CABLEADO ESTRUCTURADO - RED 519</v>
          </cell>
          <cell r="F22" t="str">
            <v xml:space="preserve">BELGRANO ( 4003 ) </v>
          </cell>
          <cell r="G22">
            <v>45</v>
          </cell>
          <cell r="H22" t="str">
            <v>VOZ Y DATOS SRL</v>
          </cell>
          <cell r="I22">
            <v>89117.87</v>
          </cell>
          <cell r="K22" t="str">
            <v>REC. PROV.</v>
          </cell>
          <cell r="L22">
            <v>40980</v>
          </cell>
          <cell r="M22">
            <v>40977</v>
          </cell>
          <cell r="T22">
            <v>40984</v>
          </cell>
          <cell r="X22">
            <v>41046</v>
          </cell>
          <cell r="Z22">
            <v>41249</v>
          </cell>
          <cell r="AA22">
            <v>41979</v>
          </cell>
          <cell r="AJ22" t="str">
            <v xml:space="preserve">Obra con provisoria y en garantía. </v>
          </cell>
        </row>
        <row r="23">
          <cell r="B23">
            <v>102420</v>
          </cell>
          <cell r="C23">
            <v>10836</v>
          </cell>
          <cell r="D23" t="str">
            <v>ZUNINO</v>
          </cell>
          <cell r="E23" t="str">
            <v>PROV. INSTAL. Y PUESTA EN SERVICIO DE NUEVOS PUESTOS DE RED DE CABLEADO ESTRUCTURADO - RED 517</v>
          </cell>
          <cell r="F23" t="str">
            <v>REMEDIOS DE ESCALADA ( 5181)</v>
          </cell>
          <cell r="G23">
            <v>45</v>
          </cell>
          <cell r="H23" t="str">
            <v>VOZ Y DATOS SRL</v>
          </cell>
          <cell r="I23">
            <v>78420</v>
          </cell>
          <cell r="K23" t="str">
            <v>REC. PROV.</v>
          </cell>
          <cell r="L23">
            <v>40976</v>
          </cell>
          <cell r="M23">
            <v>40974</v>
          </cell>
          <cell r="T23">
            <v>40981</v>
          </cell>
          <cell r="X23">
            <v>41026</v>
          </cell>
          <cell r="Z23">
            <v>41249</v>
          </cell>
          <cell r="AA23">
            <v>41979</v>
          </cell>
          <cell r="AJ23" t="str">
            <v xml:space="preserve">Obra con provisoria y en garantía. </v>
          </cell>
        </row>
        <row r="24">
          <cell r="B24">
            <v>103398</v>
          </cell>
          <cell r="C24">
            <v>10838</v>
          </cell>
          <cell r="D24" t="str">
            <v>TORRES</v>
          </cell>
          <cell r="E24" t="str">
            <v>REEMPLAZO DE ELEMENTOS EN LOS SISTEMAS DE ALARMA ELECTRONICA Y POLICIAL</v>
          </cell>
          <cell r="F24" t="str">
            <v>SUCURSALES BELGRANO, REMEDIOS DE ESCALADA, GENERAL RODRIGUEZ Y SALADILLO</v>
          </cell>
          <cell r="G24">
            <v>120</v>
          </cell>
          <cell r="H24" t="str">
            <v>TYSSE S.A.</v>
          </cell>
          <cell r="I24">
            <v>565829.29</v>
          </cell>
          <cell r="K24" t="str">
            <v>REC. PROV.</v>
          </cell>
          <cell r="L24">
            <v>41019</v>
          </cell>
          <cell r="M24">
            <v>41036</v>
          </cell>
          <cell r="T24">
            <v>41032</v>
          </cell>
          <cell r="X24">
            <v>41296</v>
          </cell>
          <cell r="Z24">
            <v>41295</v>
          </cell>
          <cell r="AA24">
            <v>41476</v>
          </cell>
          <cell r="AD24">
            <v>35354.6</v>
          </cell>
          <cell r="AE24">
            <v>95496.72</v>
          </cell>
          <cell r="AJ24" t="str">
            <v>A tecnica por definitiva del adicional el 11-09-2013</v>
          </cell>
        </row>
        <row r="25">
          <cell r="B25">
            <v>102801</v>
          </cell>
          <cell r="C25">
            <v>10843</v>
          </cell>
          <cell r="D25" t="str">
            <v>TORRES</v>
          </cell>
          <cell r="E25" t="str">
            <v>PROVISIÓN, INSTALACIÓN Y PUESTA EN SERVICIO DE NUEVOS PUESTOS DE TRABAJO DE CABLEADO ESTRUCTURADO - RED 523</v>
          </cell>
          <cell r="F25" t="str">
            <v>CASA CENTRAL 5º PISO - SECTOR D</v>
          </cell>
          <cell r="G25">
            <v>45</v>
          </cell>
          <cell r="H25" t="str">
            <v>MEGOHM</v>
          </cell>
          <cell r="I25">
            <v>78825</v>
          </cell>
          <cell r="K25" t="str">
            <v>REC. PROV.</v>
          </cell>
          <cell r="L25">
            <v>40995</v>
          </cell>
          <cell r="M25">
            <v>40994</v>
          </cell>
          <cell r="T25">
            <v>41008</v>
          </cell>
          <cell r="X25">
            <v>41171</v>
          </cell>
          <cell r="Z25">
            <v>41134</v>
          </cell>
          <cell r="AA25">
            <v>41864</v>
          </cell>
          <cell r="AJ25" t="str">
            <v>Obra con provisoria y en garantia</v>
          </cell>
        </row>
        <row r="26">
          <cell r="B26">
            <v>103558</v>
          </cell>
          <cell r="C26">
            <v>10849</v>
          </cell>
          <cell r="D26" t="str">
            <v>TORRES</v>
          </cell>
          <cell r="E26" t="str">
            <v>PROVISION Y COLOCACIÓN DE MOBILIARIO MADERA COLOR PERAL</v>
          </cell>
          <cell r="F26" t="str">
            <v>CASA CENTRAL 5º PISO - SECTOR "D-E"</v>
          </cell>
          <cell r="G26">
            <v>60</v>
          </cell>
          <cell r="H26" t="str">
            <v>CENTRO EQUIPAMIENTOS SRL</v>
          </cell>
          <cell r="I26">
            <v>199399.2</v>
          </cell>
          <cell r="K26" t="str">
            <v>REC. DEF.</v>
          </cell>
          <cell r="L26">
            <v>41011</v>
          </cell>
          <cell r="M26">
            <v>41047</v>
          </cell>
          <cell r="R26">
            <v>41019</v>
          </cell>
          <cell r="T26">
            <v>41019</v>
          </cell>
          <cell r="U26">
            <v>41079</v>
          </cell>
          <cell r="W26">
            <v>53</v>
          </cell>
          <cell r="X26">
            <v>41132</v>
          </cell>
          <cell r="Z26">
            <v>41132</v>
          </cell>
          <cell r="AA26">
            <v>41312</v>
          </cell>
          <cell r="AD26">
            <v>91791.5</v>
          </cell>
          <cell r="AE26">
            <v>3150</v>
          </cell>
          <cell r="AJ26" t="str">
            <v xml:space="preserve">OBRA CON DEFINITIVA </v>
          </cell>
        </row>
        <row r="27">
          <cell r="B27">
            <v>104802</v>
          </cell>
          <cell r="C27">
            <v>10857</v>
          </cell>
          <cell r="D27" t="str">
            <v>TORRES</v>
          </cell>
          <cell r="E27" t="str">
            <v>PROVISIÓN, INSTALACIÓN Y PUESTA EN SERVICIO DE CABLEADOS ESTRUCTURADOS</v>
          </cell>
          <cell r="F27" t="str">
            <v>CASEROS (5003), BERAZATEGUI (5032), WILDE (5173) Y CALLAO (4020)</v>
          </cell>
          <cell r="G27">
            <v>45</v>
          </cell>
          <cell r="H27" t="str">
            <v>IP ELECTRO SRL          (Ítem 1)</v>
          </cell>
          <cell r="I27">
            <v>106393.97</v>
          </cell>
          <cell r="K27" t="str">
            <v>REC. PROV.</v>
          </cell>
          <cell r="L27">
            <v>41116</v>
          </cell>
          <cell r="M27">
            <v>41115</v>
          </cell>
          <cell r="T27">
            <v>41121</v>
          </cell>
          <cell r="U27">
            <v>41166</v>
          </cell>
          <cell r="V27">
            <v>223</v>
          </cell>
          <cell r="X27">
            <v>41531</v>
          </cell>
          <cell r="Z27">
            <v>41389</v>
          </cell>
          <cell r="AA27">
            <v>42119</v>
          </cell>
          <cell r="AJ27" t="str">
            <v xml:space="preserve">Obra con provisoria y en garantía. </v>
          </cell>
        </row>
        <row r="28">
          <cell r="B28">
            <v>104803</v>
          </cell>
          <cell r="C28">
            <v>10857</v>
          </cell>
          <cell r="D28" t="str">
            <v>TORRES</v>
          </cell>
          <cell r="E28" t="str">
            <v>PROVISIÓN, INSTALACIÓN Y PUESTA EN SERVICIO DE CABLEADOS ESTRUCTURADOS</v>
          </cell>
          <cell r="F28" t="str">
            <v>CASEROS (5003), BERAZATEGUI (5032), WILDE (5173) Y CALLAO (4020)</v>
          </cell>
          <cell r="G28">
            <v>45</v>
          </cell>
          <cell r="H28" t="str">
            <v>VOZ Y DATOS              (Ítem 2)</v>
          </cell>
          <cell r="I28">
            <v>190040.82</v>
          </cell>
          <cell r="K28" t="str">
            <v>REC. PROV.</v>
          </cell>
          <cell r="L28">
            <v>41116</v>
          </cell>
          <cell r="M28">
            <v>41115</v>
          </cell>
          <cell r="O28">
            <v>41122</v>
          </cell>
          <cell r="R28">
            <v>41122</v>
          </cell>
          <cell r="S28">
            <v>8</v>
          </cell>
          <cell r="T28">
            <v>41130</v>
          </cell>
          <cell r="U28">
            <v>41175</v>
          </cell>
          <cell r="V28">
            <v>83</v>
          </cell>
          <cell r="W28">
            <v>0</v>
          </cell>
          <cell r="X28">
            <v>41175</v>
          </cell>
          <cell r="Z28">
            <v>41236</v>
          </cell>
          <cell r="AA28">
            <v>41966</v>
          </cell>
          <cell r="AD28">
            <v>1610</v>
          </cell>
          <cell r="AJ28" t="str">
            <v xml:space="preserve">Obra con provisoria y en garantía. </v>
          </cell>
        </row>
        <row r="29">
          <cell r="B29">
            <v>104803</v>
          </cell>
          <cell r="C29">
            <v>10857</v>
          </cell>
          <cell r="D29" t="str">
            <v>TORRES</v>
          </cell>
          <cell r="E29" t="str">
            <v>PROVISIÓN, INSTALACIÓN Y PUESTA EN SERVICIO DE CABLEADOS ESTRUCTURADOS</v>
          </cell>
          <cell r="F29" t="str">
            <v>CASEROS (5003), BERAZATEGUI (5032), WILDE (5173) Y CALLAO (4020)</v>
          </cell>
          <cell r="G29">
            <v>45</v>
          </cell>
          <cell r="H29" t="str">
            <v>VOZ Y DATOS              (Ítem 3)</v>
          </cell>
          <cell r="K29" t="str">
            <v>EJECUCION</v>
          </cell>
          <cell r="L29">
            <v>41116</v>
          </cell>
          <cell r="M29">
            <v>41115</v>
          </cell>
          <cell r="O29">
            <v>41122</v>
          </cell>
          <cell r="R29">
            <v>41122</v>
          </cell>
          <cell r="S29">
            <v>8</v>
          </cell>
          <cell r="T29">
            <v>41130</v>
          </cell>
          <cell r="U29">
            <v>41175</v>
          </cell>
          <cell r="V29">
            <v>322</v>
          </cell>
          <cell r="W29">
            <v>0</v>
          </cell>
          <cell r="X29">
            <v>41175</v>
          </cell>
          <cell r="AJ29" t="str">
            <v>EN EJECUCION. Obra paralizada desde el 16/04/13, con fecha 17/07/2013 se solicitan novedades de reinicio de obra</v>
          </cell>
        </row>
        <row r="30">
          <cell r="B30">
            <v>104804</v>
          </cell>
          <cell r="C30">
            <v>10857</v>
          </cell>
          <cell r="D30" t="str">
            <v>TORRES</v>
          </cell>
          <cell r="E30" t="str">
            <v>PROVISIÓN, INSTALACIÓN Y PUESTA EN SERVICIO DE CABLEADOS ESTRUCTURADOS</v>
          </cell>
          <cell r="F30" t="str">
            <v>CASEROS (5003), BERAZATEGUI (5032), WILDE (5173) Y CALLAO (4020)</v>
          </cell>
          <cell r="G30">
            <v>45</v>
          </cell>
          <cell r="H30" t="str">
            <v>SYSTEM NET S.A. (Ítem 4)</v>
          </cell>
          <cell r="I30">
            <v>84554.39</v>
          </cell>
          <cell r="K30" t="str">
            <v>REC. PROV.</v>
          </cell>
          <cell r="L30">
            <v>41116</v>
          </cell>
          <cell r="M30">
            <v>41115</v>
          </cell>
          <cell r="N30">
            <v>25366.31</v>
          </cell>
          <cell r="O30">
            <v>41122</v>
          </cell>
          <cell r="R30">
            <v>41122</v>
          </cell>
          <cell r="S30" t="str">
            <v>XX</v>
          </cell>
          <cell r="T30">
            <v>41121</v>
          </cell>
          <cell r="U30">
            <v>41166</v>
          </cell>
          <cell r="V30">
            <v>379</v>
          </cell>
          <cell r="X30">
            <v>41533</v>
          </cell>
          <cell r="Z30">
            <v>41533</v>
          </cell>
          <cell r="AA30">
            <v>42263</v>
          </cell>
          <cell r="AJ30" t="str">
            <v xml:space="preserve">Obra con provisoria y en garantía </v>
          </cell>
        </row>
        <row r="31">
          <cell r="B31">
            <v>105340</v>
          </cell>
          <cell r="C31">
            <v>10858</v>
          </cell>
          <cell r="D31" t="str">
            <v>FORCINITI</v>
          </cell>
          <cell r="E31" t="str">
            <v>AMPLIACIÓN DE LOS SISTEMAS DE ALARMAS, POLICIAL Y ELECTRONICO.</v>
          </cell>
          <cell r="F31" t="str">
            <v>SUCURSALES DE LA ZONA DE GRAN BUENOS AIRES</v>
          </cell>
          <cell r="G31">
            <v>15</v>
          </cell>
          <cell r="H31" t="str">
            <v>TYSSE S.A.</v>
          </cell>
          <cell r="I31">
            <v>606764.29</v>
          </cell>
          <cell r="K31" t="str">
            <v>REC. DEF.</v>
          </cell>
          <cell r="L31">
            <v>41148</v>
          </cell>
          <cell r="M31">
            <v>41150</v>
          </cell>
          <cell r="T31">
            <v>41151</v>
          </cell>
          <cell r="X31">
            <v>41166</v>
          </cell>
          <cell r="Z31">
            <v>41164</v>
          </cell>
          <cell r="AA31">
            <v>41344</v>
          </cell>
          <cell r="AD31">
            <v>46707.46</v>
          </cell>
          <cell r="AJ31" t="str">
            <v xml:space="preserve">obra con definitiva </v>
          </cell>
        </row>
        <row r="32">
          <cell r="B32">
            <v>104815</v>
          </cell>
          <cell r="C32">
            <v>10862</v>
          </cell>
          <cell r="D32" t="str">
            <v>FERNANDEZ</v>
          </cell>
          <cell r="E32" t="str">
            <v>PROVISIÓN, INSTALACIÓN Y PUESTA EN SERVICIO DE CABLEADOS ESTRUCTURADOS</v>
          </cell>
          <cell r="F32" t="str">
            <v>SUCURSALES MERCEDES, VILLA ADELINA, SAN MIGUEL, FLORENCIO VARELA Y GRAL. VILLEGAS</v>
          </cell>
          <cell r="G32">
            <v>45</v>
          </cell>
          <cell r="H32" t="str">
            <v>IP ELECTRO SRL                             (Item 1)</v>
          </cell>
          <cell r="I32">
            <v>111396.87</v>
          </cell>
          <cell r="K32" t="str">
            <v>EJECUCION</v>
          </cell>
          <cell r="L32">
            <v>41120</v>
          </cell>
          <cell r="M32">
            <v>41116</v>
          </cell>
          <cell r="T32">
            <v>41124</v>
          </cell>
          <cell r="U32">
            <v>41169</v>
          </cell>
          <cell r="X32">
            <v>41169</v>
          </cell>
          <cell r="AJ32" t="str">
            <v xml:space="preserve">EN EJECUCION. </v>
          </cell>
        </row>
        <row r="33">
          <cell r="B33">
            <v>104816</v>
          </cell>
          <cell r="C33">
            <v>10862</v>
          </cell>
          <cell r="D33" t="str">
            <v>FERNANDEZ</v>
          </cell>
          <cell r="E33" t="str">
            <v>PROVISIÓN, INSTALACIÓN Y PUESTA EN SERVICIO DE CABLEADOS ESTRUCTURADOS</v>
          </cell>
          <cell r="F33" t="str">
            <v>SUCURSALES MERCEDES, VILLA ADELINA, SAN MIGUEL, FLORENCIO VARELA Y GRAL. VILLEGAS</v>
          </cell>
          <cell r="G33">
            <v>45</v>
          </cell>
          <cell r="H33" t="str">
            <v>VOZ Y DATOS SRL (Item 2 y 3)</v>
          </cell>
          <cell r="I33">
            <v>193467.3</v>
          </cell>
          <cell r="K33" t="str">
            <v>EJECUCION</v>
          </cell>
          <cell r="L33">
            <v>41120</v>
          </cell>
          <cell r="M33">
            <v>41116</v>
          </cell>
          <cell r="Q33" t="str">
            <v>xx</v>
          </cell>
          <cell r="T33">
            <v>41127</v>
          </cell>
          <cell r="U33">
            <v>41172</v>
          </cell>
          <cell r="X33">
            <v>41172</v>
          </cell>
          <cell r="Z33" t="str">
            <v>xx</v>
          </cell>
          <cell r="AA33" t="str">
            <v>xx</v>
          </cell>
          <cell r="AJ33" t="str">
            <v>EN EJECUCION. Obra paralizada</v>
          </cell>
        </row>
        <row r="34">
          <cell r="B34">
            <v>104817</v>
          </cell>
          <cell r="C34">
            <v>10862</v>
          </cell>
          <cell r="D34" t="str">
            <v>FERNANDEZ</v>
          </cell>
          <cell r="E34" t="str">
            <v>PROVISIÓN, INSTALACIÓN Y PUESTA EN SERVICIO DE CABLEADOS ESTRUCTURADOS</v>
          </cell>
          <cell r="F34" t="str">
            <v>SUCURSALES MERCEDES, VILLA ADELINA, SAN MIGUEL, FLORENCIO VARELA Y GRAL. VILLEGAS</v>
          </cell>
          <cell r="G34">
            <v>45</v>
          </cell>
          <cell r="H34" t="str">
            <v>SYSTEMNET S.A.                           (Item 4 y 5)</v>
          </cell>
          <cell r="I34">
            <v>209649.04</v>
          </cell>
          <cell r="K34" t="str">
            <v>EJECUCION</v>
          </cell>
          <cell r="L34">
            <v>41120</v>
          </cell>
          <cell r="M34">
            <v>41116</v>
          </cell>
          <cell r="O34">
            <v>41124</v>
          </cell>
          <cell r="Q34" t="str">
            <v>xx</v>
          </cell>
          <cell r="R34">
            <v>41124</v>
          </cell>
          <cell r="S34">
            <v>10</v>
          </cell>
          <cell r="T34">
            <v>41134</v>
          </cell>
          <cell r="U34">
            <v>41179</v>
          </cell>
          <cell r="X34">
            <v>41179</v>
          </cell>
          <cell r="Z34" t="str">
            <v>xx</v>
          </cell>
          <cell r="AA34" t="str">
            <v>xx</v>
          </cell>
          <cell r="AJ34" t="str">
            <v xml:space="preserve">EN EJECUCION. </v>
          </cell>
        </row>
        <row r="35">
          <cell r="B35">
            <v>105292</v>
          </cell>
          <cell r="C35">
            <v>10869</v>
          </cell>
          <cell r="D35" t="str">
            <v>FORCINITI</v>
          </cell>
          <cell r="E35" t="str">
            <v>REPARACIÓN EN CUBIERTA DE CHAPA, BABETAS Y CUPERTINAS</v>
          </cell>
          <cell r="F35" t="str">
            <v>DEPÓSITO DE CASA MATRIZ LA PLATA</v>
          </cell>
          <cell r="G35">
            <v>45</v>
          </cell>
          <cell r="H35" t="str">
            <v>PERFILARTE S.A.</v>
          </cell>
          <cell r="I35">
            <v>89076.75</v>
          </cell>
          <cell r="K35" t="str">
            <v>REC. DEF.</v>
          </cell>
          <cell r="L35">
            <v>41145</v>
          </cell>
          <cell r="M35">
            <v>41145</v>
          </cell>
          <cell r="T35">
            <v>41158</v>
          </cell>
          <cell r="X35">
            <v>41203</v>
          </cell>
          <cell r="Z35">
            <v>41203</v>
          </cell>
          <cell r="AA35">
            <v>41383</v>
          </cell>
          <cell r="AJ35" t="str">
            <v xml:space="preserve">Obra con definitiva </v>
          </cell>
        </row>
        <row r="36">
          <cell r="B36">
            <v>106652</v>
          </cell>
          <cell r="C36">
            <v>10875</v>
          </cell>
          <cell r="D36" t="str">
            <v>FERNANDEZ</v>
          </cell>
          <cell r="E36" t="str">
            <v>MODIFICACIÓN DE LA INSTALACIÓN DE AIRE ACONDICIONADO.</v>
          </cell>
          <cell r="F36" t="str">
            <v>SALA DE REUNIONES DE MUSEO Y ARCHIVO HISTÓRICO -</v>
          </cell>
          <cell r="G36">
            <v>90</v>
          </cell>
          <cell r="H36" t="str">
            <v>AIR CENTER</v>
          </cell>
          <cell r="I36">
            <v>519262.45</v>
          </cell>
          <cell r="K36" t="str">
            <v>REC. PROV.</v>
          </cell>
          <cell r="L36">
            <v>41215</v>
          </cell>
          <cell r="M36">
            <v>41215</v>
          </cell>
          <cell r="O36">
            <v>41222</v>
          </cell>
          <cell r="P36">
            <v>41220</v>
          </cell>
          <cell r="Q36">
            <v>41938</v>
          </cell>
          <cell r="R36">
            <v>41228</v>
          </cell>
          <cell r="S36">
            <v>15</v>
          </cell>
          <cell r="T36">
            <v>41243</v>
          </cell>
          <cell r="U36">
            <v>41333</v>
          </cell>
          <cell r="W36">
            <v>67</v>
          </cell>
          <cell r="X36">
            <v>41400</v>
          </cell>
          <cell r="Z36">
            <v>41409</v>
          </cell>
          <cell r="AA36">
            <v>41774</v>
          </cell>
          <cell r="AD36">
            <v>62030</v>
          </cell>
          <cell r="AH36">
            <v>10374.84</v>
          </cell>
          <cell r="AJ36" t="str">
            <v>Obra con provisoria y en garantía. Con fecha 18/11/13 se eleva adicional</v>
          </cell>
        </row>
        <row r="37">
          <cell r="B37">
            <v>105351</v>
          </cell>
          <cell r="C37">
            <v>10876</v>
          </cell>
          <cell r="D37" t="str">
            <v>RIZZARDI</v>
          </cell>
          <cell r="E37" t="str">
            <v>PROVISIÓN E INSTALACIÓN DE BIENES DE SEGURIDAD -</v>
          </cell>
          <cell r="F37" t="str">
            <v>NUEVA UDN - COLEGIO DE ABOGADOS - LOMAS DE ZAMORA</v>
          </cell>
          <cell r="G37">
            <v>60</v>
          </cell>
          <cell r="H37" t="str">
            <v>LA GUARDIANA S.A.I.C.I.</v>
          </cell>
          <cell r="I37">
            <v>173310</v>
          </cell>
          <cell r="K37" t="str">
            <v>REC. DEF.</v>
          </cell>
          <cell r="L37">
            <v>41142</v>
          </cell>
          <cell r="M37">
            <v>41151</v>
          </cell>
          <cell r="T37">
            <v>41151</v>
          </cell>
          <cell r="X37">
            <v>41211</v>
          </cell>
          <cell r="Z37">
            <v>41212</v>
          </cell>
          <cell r="AA37">
            <v>41392</v>
          </cell>
          <cell r="AJ37" t="str">
            <v xml:space="preserve">obra con definitiva </v>
          </cell>
        </row>
        <row r="38">
          <cell r="B38">
            <v>106357</v>
          </cell>
          <cell r="C38">
            <v>10879</v>
          </cell>
          <cell r="D38" t="str">
            <v>FERNANDEZ</v>
          </cell>
          <cell r="E38" t="str">
            <v>INSTALACION DE MONTACARGAS (2do Llamado)</v>
          </cell>
          <cell r="F38" t="str">
            <v>SUCURSAL ADROGUE</v>
          </cell>
          <cell r="G38">
            <v>45</v>
          </cell>
          <cell r="H38" t="str">
            <v xml:space="preserve">SERVIMAX </v>
          </cell>
          <cell r="I38">
            <v>111360</v>
          </cell>
          <cell r="K38" t="str">
            <v>REC. PROV.</v>
          </cell>
          <cell r="L38">
            <v>41198</v>
          </cell>
          <cell r="M38">
            <v>41198</v>
          </cell>
          <cell r="O38">
            <v>41206</v>
          </cell>
          <cell r="Q38">
            <v>41449</v>
          </cell>
          <cell r="R38">
            <v>41212</v>
          </cell>
          <cell r="S38">
            <v>14</v>
          </cell>
          <cell r="T38">
            <v>41226</v>
          </cell>
          <cell r="U38">
            <v>41271</v>
          </cell>
          <cell r="W38">
            <v>18</v>
          </cell>
          <cell r="X38">
            <v>41289</v>
          </cell>
          <cell r="Z38">
            <v>41289</v>
          </cell>
          <cell r="AA38">
            <v>41654</v>
          </cell>
          <cell r="AJ38" t="str">
            <v xml:space="preserve">Obra con provisoria y en garantía. </v>
          </cell>
        </row>
        <row r="39">
          <cell r="B39">
            <v>105917</v>
          </cell>
          <cell r="C39">
            <v>10883</v>
          </cell>
          <cell r="D39" t="str">
            <v>FORCINITI</v>
          </cell>
          <cell r="E39" t="str">
            <v xml:space="preserve">REPARACION, INSTALACION DE CUBIERTA PLANA DE BALDOSAS Y COLOCACION DE MEMBRANA </v>
          </cell>
          <cell r="F39" t="str">
            <v>SUCURSAL AMEGHINO</v>
          </cell>
          <cell r="G39">
            <v>60</v>
          </cell>
          <cell r="H39" t="str">
            <v>PERFILARTE S.A.</v>
          </cell>
          <cell r="I39">
            <v>159470.5</v>
          </cell>
          <cell r="K39" t="str">
            <v>REC. PROV.</v>
          </cell>
          <cell r="L39">
            <v>41177</v>
          </cell>
          <cell r="M39">
            <v>41177</v>
          </cell>
          <cell r="T39">
            <v>41207</v>
          </cell>
          <cell r="U39">
            <v>41267</v>
          </cell>
          <cell r="X39">
            <v>41267</v>
          </cell>
          <cell r="Z39">
            <v>41386</v>
          </cell>
          <cell r="AA39">
            <v>41566</v>
          </cell>
          <cell r="AJ39" t="str">
            <v xml:space="preserve">Obra con provisoria y en garantia. </v>
          </cell>
        </row>
        <row r="40">
          <cell r="B40">
            <v>105540</v>
          </cell>
          <cell r="C40">
            <v>10884</v>
          </cell>
          <cell r="D40" t="str">
            <v>FERNANDEZ</v>
          </cell>
          <cell r="E40" t="str">
            <v>PROVISIÓN, INSTALACIÓN Y PUESTA EN MARCHA DE SISTEMAS DE CCTV PARA CAPTURA DE IMAGEN Y SONIDO EN MESAS DE TRABAJO PARA EL RECUENTO DE NUMERARIO</v>
          </cell>
          <cell r="F40" t="str">
            <v>SUBCABECERAS DE PASES DE FONDOS DEL BANCO DE LA PROVINCIA DE BUENOS AIRES</v>
          </cell>
          <cell r="G40">
            <v>60</v>
          </cell>
          <cell r="H40" t="str">
            <v>XIDEN SACI</v>
          </cell>
          <cell r="I40">
            <v>363052</v>
          </cell>
          <cell r="K40" t="str">
            <v>REC. PROV.</v>
          </cell>
          <cell r="L40">
            <v>41155</v>
          </cell>
          <cell r="M40">
            <v>41157</v>
          </cell>
          <cell r="T40">
            <v>41201</v>
          </cell>
          <cell r="X40">
            <v>41261</v>
          </cell>
          <cell r="Z40">
            <v>41414</v>
          </cell>
          <cell r="AA40">
            <v>41594</v>
          </cell>
          <cell r="AD40">
            <v>62172</v>
          </cell>
          <cell r="AE40">
            <v>15124</v>
          </cell>
          <cell r="AJ40" t="str">
            <v>Obra finalizada y en garantía. Con fecha 16/10/13 se envia a tecnica por definitiva</v>
          </cell>
        </row>
        <row r="41">
          <cell r="B41">
            <v>105817</v>
          </cell>
          <cell r="C41">
            <v>10891</v>
          </cell>
          <cell r="D41" t="str">
            <v>FERNANDEZ</v>
          </cell>
          <cell r="E41" t="str">
            <v>EJECUCIÓN DE RECINTO PARA INSTALACIÓN DE CAJAS DE SEGURIDAD</v>
          </cell>
          <cell r="F41" t="str">
            <v>SUCURSAL SANTA TERESITA</v>
          </cell>
          <cell r="G41">
            <v>30</v>
          </cell>
          <cell r="H41" t="str">
            <v>RICARDO CAVILLA</v>
          </cell>
          <cell r="I41">
            <v>89289</v>
          </cell>
          <cell r="K41" t="str">
            <v>REC. PROV.</v>
          </cell>
          <cell r="L41">
            <v>41171</v>
          </cell>
          <cell r="M41">
            <v>41169</v>
          </cell>
          <cell r="T41">
            <v>41192</v>
          </cell>
          <cell r="X41">
            <v>41223</v>
          </cell>
          <cell r="Z41">
            <v>41242</v>
          </cell>
          <cell r="AA41">
            <v>41422</v>
          </cell>
          <cell r="AD41">
            <v>53985.94</v>
          </cell>
          <cell r="AE41">
            <v>25878.29</v>
          </cell>
          <cell r="AJ41" t="str">
            <v>Con fecha 03/06/13 se envia a tecnica por definitiva</v>
          </cell>
        </row>
        <row r="42">
          <cell r="B42">
            <v>105602</v>
          </cell>
          <cell r="C42">
            <v>10903</v>
          </cell>
          <cell r="D42" t="str">
            <v>RIZZARDI</v>
          </cell>
          <cell r="E42" t="str">
            <v xml:space="preserve">ADECUACION DE AREA </v>
          </cell>
          <cell r="F42" t="str">
            <v xml:space="preserve">Edificio Peron 739 - 2° piso CISTEBA </v>
          </cell>
          <cell r="G42">
            <v>30</v>
          </cell>
          <cell r="H42" t="str">
            <v>N Y S SRL</v>
          </cell>
          <cell r="I42">
            <v>248000</v>
          </cell>
          <cell r="K42" t="str">
            <v>REC. DEF.</v>
          </cell>
          <cell r="L42">
            <v>41151</v>
          </cell>
          <cell r="M42">
            <v>41162</v>
          </cell>
          <cell r="T42">
            <v>41155</v>
          </cell>
          <cell r="X42">
            <v>41182</v>
          </cell>
          <cell r="Z42">
            <v>41181</v>
          </cell>
          <cell r="AA42">
            <v>41361</v>
          </cell>
          <cell r="AD42">
            <v>47864.71</v>
          </cell>
          <cell r="AJ42" t="str">
            <v>Obra con Recep. Definitiva</v>
          </cell>
        </row>
        <row r="43">
          <cell r="B43">
            <v>105955</v>
          </cell>
          <cell r="C43">
            <v>10904</v>
          </cell>
          <cell r="D43" t="str">
            <v>TORRES</v>
          </cell>
          <cell r="E43" t="str">
            <v>ADECUACIÓN Y AMPLIACIÓN DEL SISTEMA DE CCTV</v>
          </cell>
          <cell r="F43" t="str">
            <v>SUCURSAL BERAZATEGUI</v>
          </cell>
          <cell r="G43">
            <v>30</v>
          </cell>
          <cell r="H43" t="str">
            <v>XIDEN SACI</v>
          </cell>
          <cell r="I43">
            <v>157948</v>
          </cell>
          <cell r="K43" t="str">
            <v>REC. PROV.</v>
          </cell>
          <cell r="L43">
            <v>41173</v>
          </cell>
          <cell r="M43">
            <v>41178</v>
          </cell>
          <cell r="T43">
            <v>41199</v>
          </cell>
          <cell r="X43">
            <v>41292</v>
          </cell>
          <cell r="Z43">
            <v>41292</v>
          </cell>
          <cell r="AA43">
            <v>41472</v>
          </cell>
          <cell r="AD43">
            <v>10368</v>
          </cell>
          <cell r="AJ43" t="str">
            <v>A tecnica por definitiva del adicional el 19-09-2013</v>
          </cell>
        </row>
        <row r="44">
          <cell r="B44">
            <v>106162</v>
          </cell>
          <cell r="C44">
            <v>10905</v>
          </cell>
          <cell r="D44" t="str">
            <v>RIZZARDI</v>
          </cell>
          <cell r="E44" t="str">
            <v>TRABAJOS DE ADECUACIÓN DEL SISTEMA DE CCTV POR REMODELACIÓN</v>
          </cell>
          <cell r="F44" t="str">
            <v>ANEXO OPERATIVO CAR QUILMES</v>
          </cell>
          <cell r="G44">
            <v>16</v>
          </cell>
          <cell r="H44" t="str">
            <v>XIDEN SACI</v>
          </cell>
          <cell r="I44">
            <v>144200</v>
          </cell>
          <cell r="K44" t="str">
            <v>REC. DEF.</v>
          </cell>
          <cell r="L44">
            <v>41187</v>
          </cell>
          <cell r="M44">
            <v>41187</v>
          </cell>
          <cell r="T44">
            <v>41199</v>
          </cell>
          <cell r="X44">
            <v>41215</v>
          </cell>
          <cell r="Z44">
            <v>41292</v>
          </cell>
          <cell r="AA44">
            <v>41472</v>
          </cell>
          <cell r="AJ44" t="str">
            <v xml:space="preserve">obra con definitiva </v>
          </cell>
        </row>
        <row r="45">
          <cell r="B45">
            <v>106083</v>
          </cell>
          <cell r="C45">
            <v>10908</v>
          </cell>
          <cell r="D45" t="str">
            <v>TORRES</v>
          </cell>
          <cell r="E45" t="str">
            <v>TRABAJOS DE ADECUACIÓN DEL SISTEMA DE CCTV POR REMODELACIÓN</v>
          </cell>
          <cell r="F45" t="str">
            <v>SUCURSAL GENERAL RODRIGUEZ</v>
          </cell>
          <cell r="G45">
            <v>10</v>
          </cell>
          <cell r="H45" t="str">
            <v>IP ELECTRO SRL</v>
          </cell>
          <cell r="I45">
            <v>167974</v>
          </cell>
          <cell r="K45" t="str">
            <v>REC. PROV.</v>
          </cell>
          <cell r="L45">
            <v>41191</v>
          </cell>
          <cell r="M45">
            <v>41185</v>
          </cell>
          <cell r="O45">
            <v>41197</v>
          </cell>
          <cell r="P45">
            <v>41197</v>
          </cell>
          <cell r="R45">
            <v>41199</v>
          </cell>
          <cell r="S45">
            <v>6</v>
          </cell>
          <cell r="T45">
            <v>41205</v>
          </cell>
          <cell r="U45">
            <v>41215</v>
          </cell>
          <cell r="V45">
            <v>162</v>
          </cell>
          <cell r="X45">
            <v>41215</v>
          </cell>
          <cell r="Z45">
            <v>41376</v>
          </cell>
          <cell r="AA45">
            <v>41556</v>
          </cell>
          <cell r="AD45">
            <v>9484.99</v>
          </cell>
          <cell r="AJ45" t="str">
            <v>A técnica por Definitiva 19-09-13</v>
          </cell>
        </row>
        <row r="46">
          <cell r="B46">
            <v>107292</v>
          </cell>
          <cell r="C46">
            <v>10909</v>
          </cell>
          <cell r="D46" t="str">
            <v>RIZZARDI</v>
          </cell>
          <cell r="E46" t="str">
            <v>DESCONEXIÓN, PROVISIÓN, INSTALACIÓN E INTERCONEXIONADO DE LOS SISTEMAS DE ALARMA POLICIAL Y ELECTRÓNICA POR REMODELACIONES</v>
          </cell>
          <cell r="F46" t="str">
            <v>SUCURSALES MERCEDES Y FLORENCIO VARELA</v>
          </cell>
          <cell r="G46">
            <v>60</v>
          </cell>
          <cell r="H46" t="str">
            <v>TYSSE S.A.</v>
          </cell>
          <cell r="I46">
            <v>388811.5</v>
          </cell>
          <cell r="K46" t="str">
            <v>EJECUCION</v>
          </cell>
          <cell r="L46">
            <v>41264</v>
          </cell>
          <cell r="M46">
            <v>41263</v>
          </cell>
          <cell r="O46">
            <v>41282</v>
          </cell>
          <cell r="R46">
            <v>41289</v>
          </cell>
          <cell r="S46" t="str">
            <v>xx</v>
          </cell>
          <cell r="T46">
            <v>41281</v>
          </cell>
          <cell r="U46">
            <v>41341</v>
          </cell>
          <cell r="X46">
            <v>41341</v>
          </cell>
          <cell r="AJ46" t="str">
            <v xml:space="preserve">EN EJECUCION. </v>
          </cell>
        </row>
        <row r="47">
          <cell r="B47">
            <v>107147</v>
          </cell>
          <cell r="C47">
            <v>10913</v>
          </cell>
          <cell r="D47" t="str">
            <v>TORRES</v>
          </cell>
          <cell r="E47" t="str">
            <v xml:space="preserve">TRABAJOS DE ADECUACION DEL SISTEMA DE CCTV </v>
          </cell>
          <cell r="F47" t="str">
            <v>SUCURSALES JOSE C PAZ Y LOS POLVORINES</v>
          </cell>
          <cell r="G47">
            <v>30</v>
          </cell>
          <cell r="H47" t="str">
            <v>CITARELLA S.A.</v>
          </cell>
          <cell r="I47">
            <v>171445</v>
          </cell>
          <cell r="K47" t="str">
            <v>REC. DEF.</v>
          </cell>
          <cell r="L47">
            <v>41253</v>
          </cell>
          <cell r="M47">
            <v>41253</v>
          </cell>
          <cell r="O47">
            <v>41269</v>
          </cell>
          <cell r="R47">
            <v>41276</v>
          </cell>
          <cell r="S47" t="str">
            <v>XX</v>
          </cell>
          <cell r="T47">
            <v>41630</v>
          </cell>
          <cell r="U47">
            <v>41660</v>
          </cell>
          <cell r="V47">
            <v>88</v>
          </cell>
          <cell r="W47" t="str">
            <v>XX</v>
          </cell>
          <cell r="X47">
            <v>41383</v>
          </cell>
          <cell r="Z47">
            <v>41383</v>
          </cell>
          <cell r="AA47">
            <v>41563</v>
          </cell>
          <cell r="AJ47" t="str">
            <v>Obra con definitiva</v>
          </cell>
        </row>
        <row r="48">
          <cell r="B48">
            <v>106746</v>
          </cell>
          <cell r="C48">
            <v>10915</v>
          </cell>
          <cell r="D48" t="str">
            <v>TORRES</v>
          </cell>
          <cell r="E48" t="str">
            <v>ADECUACIÓN DE , LAS INSTALACIONES DE AIRE ACONDICIONADO Y CALEFACCIÓN</v>
          </cell>
          <cell r="F48" t="str">
            <v xml:space="preserve">5° PISO, CASA CENTRAL - SECTORES C-D Y B-E  </v>
          </cell>
          <cell r="G48">
            <v>75</v>
          </cell>
          <cell r="H48" t="str">
            <v>BRV INSTALACIONES TERMOMECANICAS</v>
          </cell>
          <cell r="I48">
            <v>467650</v>
          </cell>
          <cell r="K48" t="str">
            <v>REC. PROV.</v>
          </cell>
          <cell r="L48">
            <v>41225</v>
          </cell>
          <cell r="M48">
            <v>41226</v>
          </cell>
          <cell r="T48">
            <v>41236</v>
          </cell>
          <cell r="X48">
            <v>41361</v>
          </cell>
          <cell r="Z48">
            <v>41361</v>
          </cell>
          <cell r="AA48">
            <v>41726</v>
          </cell>
          <cell r="AJ48" t="str">
            <v xml:space="preserve">Obra con provisoria y en garantía. </v>
          </cell>
        </row>
        <row r="49">
          <cell r="B49">
            <v>106639</v>
          </cell>
          <cell r="C49">
            <v>10916</v>
          </cell>
          <cell r="D49" t="str">
            <v>TORRES</v>
          </cell>
          <cell r="E49" t="str">
            <v>PROVISIÓN E INSTALACIÓN DE MOBILIARIO MADERA COLOR PERAL</v>
          </cell>
          <cell r="F49" t="str">
            <v xml:space="preserve">5° PISO, CASA CENTRAL - PRENSA Y CONTROL PRESUPUESTARIO </v>
          </cell>
          <cell r="G49">
            <v>75</v>
          </cell>
          <cell r="H49" t="str">
            <v>CENTRO EQUIPAMIENTOS SRL</v>
          </cell>
          <cell r="I49">
            <v>240999.6</v>
          </cell>
          <cell r="K49" t="str">
            <v>REC. PROV.</v>
          </cell>
          <cell r="L49">
            <v>41213</v>
          </cell>
          <cell r="M49">
            <v>41214</v>
          </cell>
          <cell r="R49">
            <v>41234</v>
          </cell>
          <cell r="S49" t="str">
            <v>------</v>
          </cell>
          <cell r="T49">
            <v>41227</v>
          </cell>
          <cell r="U49">
            <v>41302</v>
          </cell>
          <cell r="V49">
            <v>68</v>
          </cell>
          <cell r="W49">
            <v>6</v>
          </cell>
          <cell r="X49">
            <v>41376</v>
          </cell>
          <cell r="Z49">
            <v>41376</v>
          </cell>
          <cell r="AA49">
            <v>41556</v>
          </cell>
          <cell r="AD49">
            <v>50146.2</v>
          </cell>
          <cell r="AF49" t="str">
            <v>------</v>
          </cell>
          <cell r="AG49" t="str">
            <v>------</v>
          </cell>
          <cell r="AH49" t="str">
            <v>------</v>
          </cell>
          <cell r="AI49" t="str">
            <v>------</v>
          </cell>
          <cell r="AJ49" t="str">
            <v>Con fecha 17/09/13 se envia a tecnica por definitiva</v>
          </cell>
        </row>
        <row r="50">
          <cell r="B50">
            <v>107208</v>
          </cell>
          <cell r="C50">
            <v>10917</v>
          </cell>
          <cell r="D50" t="str">
            <v>RIZZARDI</v>
          </cell>
          <cell r="E50" t="str">
            <v xml:space="preserve">TRABAJOS DE ADECUACION DEL SISTEMA DE CCTV </v>
          </cell>
          <cell r="F50" t="str">
            <v>SUCURSAÑES WILDE, TEMPERLEY Y REMEDIOS DE ESCALADA</v>
          </cell>
          <cell r="G50">
            <v>60</v>
          </cell>
          <cell r="H50" t="str">
            <v>CITARELLA S.A.</v>
          </cell>
          <cell r="I50">
            <v>554034.25</v>
          </cell>
          <cell r="K50" t="str">
            <v>REC. PROV.</v>
          </cell>
          <cell r="L50">
            <v>41264</v>
          </cell>
          <cell r="M50">
            <v>41257</v>
          </cell>
          <cell r="O50">
            <v>41279</v>
          </cell>
          <cell r="P50">
            <v>41277</v>
          </cell>
          <cell r="R50">
            <v>41289</v>
          </cell>
          <cell r="T50">
            <v>41281</v>
          </cell>
          <cell r="U50">
            <v>41341</v>
          </cell>
          <cell r="V50">
            <v>241</v>
          </cell>
          <cell r="X50">
            <v>41341</v>
          </cell>
          <cell r="Z50">
            <v>41577</v>
          </cell>
          <cell r="AA50">
            <v>41757</v>
          </cell>
          <cell r="AJ50" t="str">
            <v>Obra con provisoria y en garantía</v>
          </cell>
        </row>
        <row r="51">
          <cell r="B51">
            <v>107150</v>
          </cell>
          <cell r="C51">
            <v>10919</v>
          </cell>
          <cell r="D51" t="str">
            <v>RIZZARDI</v>
          </cell>
          <cell r="E51" t="str">
            <v>PROVISION E INSTALACIÓN DE BIENES DE SEGURIDAD</v>
          </cell>
          <cell r="F51" t="str">
            <v>SUCURSALES VARIAS</v>
          </cell>
          <cell r="G51">
            <v>60</v>
          </cell>
          <cell r="H51" t="str">
            <v>LA GUARDIANA S.A.I.C.I.</v>
          </cell>
          <cell r="I51">
            <v>782760</v>
          </cell>
          <cell r="K51" t="str">
            <v>REC. PROV.</v>
          </cell>
          <cell r="L51">
            <v>41264</v>
          </cell>
          <cell r="M51">
            <v>41255</v>
          </cell>
          <cell r="P51">
            <v>41282</v>
          </cell>
          <cell r="T51">
            <v>41284</v>
          </cell>
          <cell r="U51">
            <v>41344</v>
          </cell>
          <cell r="X51">
            <v>41344</v>
          </cell>
          <cell r="Z51">
            <v>41393</v>
          </cell>
          <cell r="AA51">
            <v>41576</v>
          </cell>
          <cell r="AD51">
            <v>143000</v>
          </cell>
          <cell r="AJ51" t="str">
            <v>Obra con provisoria y en gatia</v>
          </cell>
        </row>
        <row r="52">
          <cell r="B52">
            <v>107453</v>
          </cell>
          <cell r="C52">
            <v>10920</v>
          </cell>
          <cell r="D52" t="str">
            <v>FORCINITI</v>
          </cell>
          <cell r="E52" t="str">
            <v xml:space="preserve">ADECUACIÓN DEL SISTEMA DE CCTV </v>
          </cell>
          <cell r="F52" t="str">
            <v>SUCURSALES ITUZAINGO Y CASEROS</v>
          </cell>
          <cell r="G52">
            <v>30</v>
          </cell>
          <cell r="H52" t="str">
            <v>CITARELLA S.A.</v>
          </cell>
          <cell r="I52">
            <v>313056</v>
          </cell>
          <cell r="K52" t="str">
            <v>REC. PROV.</v>
          </cell>
          <cell r="L52">
            <v>41278</v>
          </cell>
          <cell r="M52">
            <v>41613</v>
          </cell>
          <cell r="O52">
            <v>41289</v>
          </cell>
          <cell r="P52">
            <v>41284</v>
          </cell>
          <cell r="Q52" t="str">
            <v>xx</v>
          </cell>
          <cell r="R52">
            <v>41296</v>
          </cell>
          <cell r="T52">
            <v>41290</v>
          </cell>
          <cell r="U52">
            <v>41320</v>
          </cell>
          <cell r="X52">
            <v>41320</v>
          </cell>
          <cell r="Z52">
            <v>41320</v>
          </cell>
          <cell r="AA52">
            <v>41500</v>
          </cell>
          <cell r="AB52">
            <v>41501</v>
          </cell>
          <cell r="AE52">
            <v>6624</v>
          </cell>
          <cell r="AJ52" t="str">
            <v xml:space="preserve">Obra con definitiva. </v>
          </cell>
        </row>
        <row r="53">
          <cell r="B53">
            <v>108830</v>
          </cell>
          <cell r="C53">
            <v>10923</v>
          </cell>
          <cell r="D53" t="str">
            <v>FORCINITI</v>
          </cell>
          <cell r="E53" t="str">
            <v>PROVISIÓN Y COLOCACIÓN DE ALFOMBRAS Y SOLADO DE GOMA</v>
          </cell>
          <cell r="F53" t="str">
            <v>EDIFICIO CASA CENTRAL Y EDIFICIO BMÉ. MITRE 441</v>
          </cell>
          <cell r="G53">
            <v>180</v>
          </cell>
          <cell r="H53" t="str">
            <v>HISPANA SRL</v>
          </cell>
          <cell r="I53">
            <v>459107.43</v>
          </cell>
          <cell r="K53" t="str">
            <v>EJECUCION</v>
          </cell>
          <cell r="L53">
            <v>41376</v>
          </cell>
          <cell r="M53">
            <v>41376</v>
          </cell>
          <cell r="N53" t="str">
            <v>xx</v>
          </cell>
          <cell r="O53">
            <v>41387</v>
          </cell>
          <cell r="P53">
            <v>41382</v>
          </cell>
          <cell r="Q53" t="str">
            <v>xx</v>
          </cell>
          <cell r="R53">
            <v>41397</v>
          </cell>
          <cell r="S53" t="str">
            <v>xx</v>
          </cell>
          <cell r="T53">
            <v>41396</v>
          </cell>
          <cell r="U53">
            <v>41576</v>
          </cell>
          <cell r="V53" t="str">
            <v>xx</v>
          </cell>
          <cell r="W53">
            <v>50</v>
          </cell>
          <cell r="X53">
            <v>41626</v>
          </cell>
          <cell r="Z53" t="str">
            <v>xx</v>
          </cell>
          <cell r="AA53" t="str">
            <v>xx</v>
          </cell>
          <cell r="AD53">
            <v>86954.89</v>
          </cell>
          <cell r="AJ53" t="str">
            <v>EN EJECUCION. Con fecha 21/11/13 se recibe adicional para elevar</v>
          </cell>
        </row>
        <row r="54">
          <cell r="B54">
            <v>107644</v>
          </cell>
          <cell r="C54">
            <v>10926</v>
          </cell>
          <cell r="D54" t="str">
            <v>FORCINITI</v>
          </cell>
          <cell r="E54" t="str">
            <v>READECUACIÓN MUSEOGRÁFICA</v>
          </cell>
          <cell r="F54" t="str">
            <v>ARCHIVO Y MUSEO HISTÓRICOS DEL BANCO DE LA PCIA. DE BS. AS.</v>
          </cell>
          <cell r="G54">
            <v>90</v>
          </cell>
          <cell r="H54" t="str">
            <v>M&amp;S PINTURA INTEGRAL S.R.L.</v>
          </cell>
          <cell r="I54">
            <v>656841.97</v>
          </cell>
          <cell r="K54" t="str">
            <v>REC. PROV.</v>
          </cell>
          <cell r="L54">
            <v>41288</v>
          </cell>
          <cell r="M54">
            <v>41285</v>
          </cell>
          <cell r="O54">
            <v>41296</v>
          </cell>
          <cell r="Q54">
            <v>41415</v>
          </cell>
          <cell r="R54">
            <v>41308</v>
          </cell>
          <cell r="S54" t="str">
            <v>xx</v>
          </cell>
          <cell r="T54">
            <v>41298</v>
          </cell>
          <cell r="U54">
            <v>41388</v>
          </cell>
          <cell r="W54">
            <v>20</v>
          </cell>
          <cell r="X54">
            <v>41408</v>
          </cell>
          <cell r="Z54">
            <v>41403</v>
          </cell>
          <cell r="AA54">
            <v>41583</v>
          </cell>
          <cell r="AD54">
            <v>91995.35</v>
          </cell>
          <cell r="AE54">
            <v>11032.28</v>
          </cell>
          <cell r="AJ54" t="str">
            <v>Obra con provisoria y en garantía. Con fecha 17/10/2013 se envío a tecnica por definitiva</v>
          </cell>
        </row>
        <row r="55">
          <cell r="B55">
            <v>107877</v>
          </cell>
          <cell r="C55">
            <v>10929</v>
          </cell>
          <cell r="D55" t="str">
            <v>FORCINITI</v>
          </cell>
          <cell r="E55" t="str">
            <v>REEMPLAZO DE ARTEFACTOS DE ILUMINACIÓN EXISTENTES POR NUEVOS ARTEFACTOS CON TECNOLOGÍA LED EN BANCAS ELECTRÓNICAS</v>
          </cell>
          <cell r="F55" t="str">
            <v>SUCURSALES VARIAS</v>
          </cell>
          <cell r="G55">
            <v>45</v>
          </cell>
          <cell r="H55" t="str">
            <v>MOTION S.R.L.</v>
          </cell>
          <cell r="I55">
            <v>98483</v>
          </cell>
          <cell r="K55" t="str">
            <v>REC. PROV.</v>
          </cell>
          <cell r="L55">
            <v>41298</v>
          </cell>
          <cell r="M55">
            <v>41302</v>
          </cell>
          <cell r="O55">
            <v>41312</v>
          </cell>
          <cell r="R55">
            <v>41337</v>
          </cell>
          <cell r="S55" t="str">
            <v>xx</v>
          </cell>
          <cell r="T55">
            <v>41369</v>
          </cell>
          <cell r="U55">
            <v>41414</v>
          </cell>
          <cell r="W55">
            <v>5</v>
          </cell>
          <cell r="X55">
            <v>41419</v>
          </cell>
          <cell r="Z55">
            <v>41475</v>
          </cell>
          <cell r="AA55">
            <v>41655</v>
          </cell>
          <cell r="AD55">
            <v>5425</v>
          </cell>
          <cell r="AE55">
            <v>31248</v>
          </cell>
          <cell r="AG55">
            <v>487.5</v>
          </cell>
          <cell r="AH55">
            <v>1342.88</v>
          </cell>
          <cell r="AI55">
            <v>65</v>
          </cell>
          <cell r="AJ55" t="str">
            <v>Obra con provisoria y en garantía.</v>
          </cell>
        </row>
        <row r="56">
          <cell r="B56">
            <v>107813</v>
          </cell>
          <cell r="C56">
            <v>10928</v>
          </cell>
          <cell r="D56" t="str">
            <v>ZUNINO</v>
          </cell>
          <cell r="E56" t="str">
            <v>CABLEADO ESTRUCTURADO . RED 540</v>
          </cell>
          <cell r="F56" t="str">
            <v xml:space="preserve">CASA CENTRAL. 5° P. </v>
          </cell>
          <cell r="G56">
            <v>35</v>
          </cell>
          <cell r="H56" t="str">
            <v>voz y datos srl.</v>
          </cell>
          <cell r="I56">
            <v>94611</v>
          </cell>
          <cell r="K56" t="str">
            <v>REC. PROV.</v>
          </cell>
          <cell r="L56">
            <v>41297</v>
          </cell>
          <cell r="M56">
            <v>41297</v>
          </cell>
          <cell r="O56">
            <v>41309</v>
          </cell>
          <cell r="P56">
            <v>41303</v>
          </cell>
          <cell r="R56">
            <v>41319</v>
          </cell>
          <cell r="T56">
            <v>41303</v>
          </cell>
          <cell r="U56">
            <v>41338</v>
          </cell>
          <cell r="V56">
            <v>152</v>
          </cell>
          <cell r="X56">
            <v>41491</v>
          </cell>
          <cell r="Z56">
            <v>41491</v>
          </cell>
          <cell r="AA56">
            <v>42221</v>
          </cell>
          <cell r="AJ56" t="str">
            <v>obra finalizada y en gtia.</v>
          </cell>
        </row>
        <row r="57">
          <cell r="B57">
            <v>108771</v>
          </cell>
          <cell r="C57">
            <v>10931</v>
          </cell>
          <cell r="D57" t="str">
            <v>RIZZARDI</v>
          </cell>
          <cell r="E57" t="str">
            <v xml:space="preserve">BANCAS ELECTRONICAS </v>
          </cell>
          <cell r="F57" t="str">
            <v>SANTA CLARA DEL MAR</v>
          </cell>
          <cell r="G57">
            <v>60</v>
          </cell>
          <cell r="H57" t="str">
            <v xml:space="preserve">SERVIMAX </v>
          </cell>
          <cell r="I57">
            <v>186246.99</v>
          </cell>
          <cell r="K57" t="str">
            <v>EJECUCION</v>
          </cell>
          <cell r="L57">
            <v>41372</v>
          </cell>
          <cell r="M57">
            <v>41372</v>
          </cell>
          <cell r="O57">
            <v>41381</v>
          </cell>
          <cell r="P57">
            <v>41381</v>
          </cell>
          <cell r="R57">
            <v>41397</v>
          </cell>
          <cell r="S57">
            <v>54</v>
          </cell>
          <cell r="T57">
            <v>41451</v>
          </cell>
          <cell r="U57">
            <v>41511</v>
          </cell>
          <cell r="W57">
            <v>29</v>
          </cell>
          <cell r="X57">
            <v>41540</v>
          </cell>
          <cell r="AJ57" t="str">
            <v>EN EJECUCION. Con fecha21/11/13 se recibe informe de ampliación de plazo</v>
          </cell>
        </row>
        <row r="58">
          <cell r="B58">
            <v>101982</v>
          </cell>
          <cell r="C58">
            <v>10933</v>
          </cell>
          <cell r="D58" t="str">
            <v>TORRES</v>
          </cell>
          <cell r="E58" t="str">
            <v>PRIOVISION, INSTALACION Y PUESTA EN SERVICIO DE NUEVOS PUESTOS DE CABLEADO ESTRUCTURADO</v>
          </cell>
          <cell r="F58" t="str">
            <v>SUCURSAL LINCOLN</v>
          </cell>
          <cell r="G58">
            <v>45</v>
          </cell>
          <cell r="H58" t="str">
            <v>IP ELECTRO SRL</v>
          </cell>
          <cell r="I58">
            <v>114540</v>
          </cell>
          <cell r="K58" t="str">
            <v>EJECUCION</v>
          </cell>
          <cell r="L58">
            <v>41299</v>
          </cell>
          <cell r="M58">
            <v>41300</v>
          </cell>
          <cell r="O58">
            <v>41312</v>
          </cell>
          <cell r="R58">
            <v>41325</v>
          </cell>
          <cell r="S58" t="str">
            <v>xx</v>
          </cell>
          <cell r="T58">
            <v>41309</v>
          </cell>
          <cell r="U58">
            <v>41354</v>
          </cell>
          <cell r="V58">
            <v>209</v>
          </cell>
          <cell r="X58">
            <v>41354</v>
          </cell>
          <cell r="AD58">
            <v>3214.19</v>
          </cell>
          <cell r="AJ58" t="str">
            <v>EN EJECUCION. Obra paralizada desde el 23/09/2013</v>
          </cell>
        </row>
        <row r="59">
          <cell r="B59">
            <v>107304</v>
          </cell>
          <cell r="C59">
            <v>10934</v>
          </cell>
          <cell r="D59" t="str">
            <v>FORCINITI</v>
          </cell>
          <cell r="E59" t="str">
            <v xml:space="preserve">TRABAJOS DE LUSTRE DE BOISERIE Y PULIDO E HIDROLAQUEADO DE PISOS DE MADERA </v>
          </cell>
          <cell r="F59" t="str">
            <v>CASA CENTRA, 2do PISO "A" Y "B"</v>
          </cell>
          <cell r="G59">
            <v>30</v>
          </cell>
          <cell r="H59" t="str">
            <v>F4 CONSTRUCCIONES S.R.L.</v>
          </cell>
          <cell r="I59">
            <v>197010</v>
          </cell>
          <cell r="K59" t="str">
            <v>REC. DEF.</v>
          </cell>
          <cell r="L59">
            <v>41262</v>
          </cell>
          <cell r="M59">
            <v>41263</v>
          </cell>
          <cell r="T59">
            <v>41265</v>
          </cell>
          <cell r="X59">
            <v>41295</v>
          </cell>
          <cell r="Z59">
            <v>41299</v>
          </cell>
          <cell r="AA59">
            <v>41479</v>
          </cell>
          <cell r="AD59">
            <v>24539</v>
          </cell>
          <cell r="AJ59" t="str">
            <v xml:space="preserve">OBRA CON DEFINITIVA </v>
          </cell>
        </row>
        <row r="60">
          <cell r="B60">
            <v>107291</v>
          </cell>
          <cell r="C60">
            <v>10935</v>
          </cell>
          <cell r="D60" t="str">
            <v>RIZZARDI</v>
          </cell>
          <cell r="E60" t="str">
            <v xml:space="preserve">TRABAJOS DE PINTURA Y VARIOS </v>
          </cell>
          <cell r="F60" t="str">
            <v>CASA CENTRAL, 2do PISO "A" Y "B"</v>
          </cell>
          <cell r="G60">
            <v>30</v>
          </cell>
          <cell r="H60" t="str">
            <v>F4 CONSTRUCCIONES S.R.L.</v>
          </cell>
          <cell r="I60">
            <v>150318.95000000001</v>
          </cell>
          <cell r="K60" t="str">
            <v>REC. PROV.</v>
          </cell>
          <cell r="L60">
            <v>41262</v>
          </cell>
          <cell r="M60">
            <v>41263</v>
          </cell>
          <cell r="T60">
            <v>41265</v>
          </cell>
          <cell r="X60">
            <v>41294</v>
          </cell>
          <cell r="Z60">
            <v>41299</v>
          </cell>
          <cell r="AA60">
            <v>41479</v>
          </cell>
          <cell r="AD60">
            <v>20790</v>
          </cell>
          <cell r="AJ60" t="str">
            <v xml:space="preserve">Con fecha 04/07/2013 se pide definitiva </v>
          </cell>
        </row>
        <row r="61">
          <cell r="B61">
            <v>109676</v>
          </cell>
          <cell r="C61">
            <v>10938</v>
          </cell>
          <cell r="D61" t="str">
            <v>FORCINITI</v>
          </cell>
          <cell r="E61" t="str">
            <v>TRABAJOS DE PINTURA Y VARIOS EN ÁREAS COMUNES, OFICINAS, DIRECTORIO Y GERENCIA GENERAL</v>
          </cell>
          <cell r="F61" t="str">
            <v>EDIFICIO CASA CENTRAL Y EDIFICIOS ANEXOS</v>
          </cell>
          <cell r="G61">
            <v>180</v>
          </cell>
          <cell r="H61" t="str">
            <v>ZIMMA de Vanina M. Stachurski</v>
          </cell>
          <cell r="I61">
            <v>548618.82999999996</v>
          </cell>
          <cell r="K61" t="str">
            <v>EJECUCION</v>
          </cell>
          <cell r="L61">
            <v>41429</v>
          </cell>
          <cell r="M61">
            <v>41430</v>
          </cell>
          <cell r="O61">
            <v>41439</v>
          </cell>
          <cell r="R61">
            <v>41457</v>
          </cell>
          <cell r="T61">
            <v>41457</v>
          </cell>
          <cell r="U61">
            <v>41637</v>
          </cell>
          <cell r="X61">
            <v>41637</v>
          </cell>
          <cell r="AJ61" t="str">
            <v>EN EJECUCION. Con fecha 11/9/13 se recibe informe de adicional y ampliación de plazo.</v>
          </cell>
        </row>
        <row r="62">
          <cell r="B62">
            <v>109267</v>
          </cell>
          <cell r="C62">
            <v>10939</v>
          </cell>
          <cell r="D62" t="str">
            <v>RIZZARDI</v>
          </cell>
          <cell r="E62" t="str">
            <v xml:space="preserve">INSTALACION DE ASCENSOR Y MODIFICACION DE ESCALERA </v>
          </cell>
          <cell r="F62" t="str">
            <v xml:space="preserve">CASA MATRIZ LA PLATA </v>
          </cell>
          <cell r="G62">
            <v>150</v>
          </cell>
          <cell r="H62" t="str">
            <v>N Y S SRL</v>
          </cell>
          <cell r="I62">
            <v>640000</v>
          </cell>
          <cell r="K62" t="str">
            <v>EJECUCION</v>
          </cell>
          <cell r="L62">
            <v>41407</v>
          </cell>
          <cell r="M62">
            <v>41403</v>
          </cell>
          <cell r="O62">
            <v>41415</v>
          </cell>
          <cell r="Q62">
            <v>41568</v>
          </cell>
          <cell r="R62">
            <v>41424</v>
          </cell>
          <cell r="S62" t="str">
            <v>------</v>
          </cell>
          <cell r="T62">
            <v>41424</v>
          </cell>
          <cell r="U62">
            <v>41574</v>
          </cell>
          <cell r="X62">
            <v>41574</v>
          </cell>
          <cell r="Z62" t="str">
            <v>xx</v>
          </cell>
          <cell r="AA62" t="str">
            <v>xx</v>
          </cell>
          <cell r="AJ62" t="str">
            <v>EN EJECUCION. Obra paralizada desde el 19/6/2013. Reinicio el 26/7/13</v>
          </cell>
        </row>
        <row r="63">
          <cell r="B63">
            <v>108598</v>
          </cell>
          <cell r="C63">
            <v>10940</v>
          </cell>
          <cell r="D63" t="str">
            <v>RIZZARDI</v>
          </cell>
          <cell r="E63" t="str">
            <v>ADECUACION DE CARTELES INSTITUCIONALES EN FRENTES DE FACHADAS, CARTELES SALIENTES DOBLE FAZ Y TOTEM - 2º LLAMADO</v>
          </cell>
          <cell r="F63" t="str">
            <v>SUCURSALES VARIAS - ZONA MAR DEL PLATA</v>
          </cell>
          <cell r="G63">
            <v>45</v>
          </cell>
          <cell r="H63" t="str">
            <v>MARKA COMUNICACIONES GRÁFICAS SA</v>
          </cell>
          <cell r="I63">
            <v>358008.8</v>
          </cell>
          <cell r="K63" t="str">
            <v>EJECUCION</v>
          </cell>
          <cell r="L63">
            <v>41354</v>
          </cell>
          <cell r="M63">
            <v>41358</v>
          </cell>
          <cell r="O63">
            <v>41367</v>
          </cell>
          <cell r="P63">
            <v>41358</v>
          </cell>
          <cell r="Q63" t="str">
            <v>xx</v>
          </cell>
          <cell r="R63">
            <v>41375</v>
          </cell>
          <cell r="S63">
            <v>1</v>
          </cell>
          <cell r="T63">
            <v>41376</v>
          </cell>
          <cell r="U63">
            <v>41421</v>
          </cell>
          <cell r="W63">
            <v>10</v>
          </cell>
          <cell r="X63">
            <v>41431</v>
          </cell>
          <cell r="Z63" t="str">
            <v>xx</v>
          </cell>
          <cell r="AA63" t="str">
            <v>xx</v>
          </cell>
          <cell r="AD63">
            <v>27572.400000000001</v>
          </cell>
          <cell r="AJ63" t="str">
            <v>EN EJECUCION. Con fecha 12/07/2013 se eleva adicional y ampliación de plazo.</v>
          </cell>
        </row>
        <row r="64">
          <cell r="B64">
            <v>108954</v>
          </cell>
          <cell r="C64">
            <v>10944</v>
          </cell>
          <cell r="D64" t="str">
            <v>FERNANDEZ</v>
          </cell>
          <cell r="E64" t="str">
            <v>PROVISIÓN, INSTALACIÓN Y PUESTA EN SERVICIO DE NUEVOS PUESTOS DE CABLEADO ESTRUCTURADO</v>
          </cell>
          <cell r="F64" t="str">
            <v>SUCURSAL BRAGADO</v>
          </cell>
          <cell r="G64">
            <v>45</v>
          </cell>
          <cell r="H64" t="str">
            <v>VOZ Y DATOS SRL</v>
          </cell>
          <cell r="I64">
            <v>117268.4</v>
          </cell>
          <cell r="K64" t="str">
            <v>EJECUCION</v>
          </cell>
          <cell r="L64">
            <v>41389</v>
          </cell>
          <cell r="M64">
            <v>41387</v>
          </cell>
          <cell r="T64">
            <v>41403</v>
          </cell>
          <cell r="U64">
            <v>41448</v>
          </cell>
          <cell r="AJ64" t="str">
            <v>Paralizada por OS 1 del 09/05/2013</v>
          </cell>
        </row>
        <row r="65">
          <cell r="B65">
            <v>108295</v>
          </cell>
          <cell r="C65">
            <v>10945</v>
          </cell>
          <cell r="D65" t="str">
            <v>RIZZARDI</v>
          </cell>
          <cell r="E65" t="str">
            <v>AMPLIACIÓN DE LOS SISTEMAS DE ALARMAS POLICIAL Y ELECTRÓNICO.</v>
          </cell>
          <cell r="F65" t="str">
            <v>ZONA SUBURBANA</v>
          </cell>
          <cell r="G65">
            <v>30</v>
          </cell>
          <cell r="H65" t="str">
            <v>TYSSE S.A.</v>
          </cell>
          <cell r="I65">
            <v>576898.85</v>
          </cell>
          <cell r="K65" t="str">
            <v>REC. PROV.</v>
          </cell>
          <cell r="L65" t="str">
            <v>12.mar-13</v>
          </cell>
          <cell r="M65">
            <v>41340</v>
          </cell>
          <cell r="P65">
            <v>41354</v>
          </cell>
          <cell r="Q65" t="str">
            <v>xx</v>
          </cell>
          <cell r="R65">
            <v>41374</v>
          </cell>
          <cell r="T65">
            <v>41355</v>
          </cell>
          <cell r="U65">
            <v>41385</v>
          </cell>
          <cell r="X65">
            <v>41385</v>
          </cell>
          <cell r="Z65">
            <v>41364</v>
          </cell>
          <cell r="AA65">
            <v>41544</v>
          </cell>
          <cell r="AJ65" t="str">
            <v>A técnica por Definitiva 11-09-13.Se vuelve a anviar por definitiva el 08/10/13 Con fecha 04/02/2014 vence la definitiva del adicional</v>
          </cell>
        </row>
        <row r="66">
          <cell r="B66">
            <v>108297</v>
          </cell>
          <cell r="C66">
            <v>10946</v>
          </cell>
          <cell r="D66" t="str">
            <v>FERNANDEZ</v>
          </cell>
          <cell r="E66" t="str">
            <v>AMPLIACIÓN DE LOS SISTEMAS DE ALARMAS POLICIAL Y ELECTRÓNICO.</v>
          </cell>
          <cell r="F66" t="str">
            <v>ZONA INTERIOR SUR</v>
          </cell>
          <cell r="G66">
            <v>30</v>
          </cell>
          <cell r="H66" t="str">
            <v>DELTA COMUNICACIONES S.R.L.</v>
          </cell>
          <cell r="I66">
            <v>609115.1</v>
          </cell>
          <cell r="K66" t="str">
            <v>REC. PROV.</v>
          </cell>
          <cell r="L66">
            <v>41344</v>
          </cell>
          <cell r="M66">
            <v>41340</v>
          </cell>
          <cell r="O66">
            <v>41353</v>
          </cell>
          <cell r="Q66" t="str">
            <v>xx</v>
          </cell>
          <cell r="R66">
            <v>41368</v>
          </cell>
          <cell r="S66">
            <v>1</v>
          </cell>
          <cell r="T66">
            <v>41369</v>
          </cell>
          <cell r="U66">
            <v>41399</v>
          </cell>
          <cell r="X66">
            <v>41399</v>
          </cell>
          <cell r="Z66">
            <v>41379</v>
          </cell>
          <cell r="AA66">
            <v>41559</v>
          </cell>
          <cell r="AD66">
            <v>114492.4</v>
          </cell>
          <cell r="AJ66" t="str">
            <v xml:space="preserve">A técnica por Defitiniva 19-09-2013 </v>
          </cell>
        </row>
        <row r="67">
          <cell r="B67">
            <v>108622</v>
          </cell>
          <cell r="C67">
            <v>10947</v>
          </cell>
          <cell r="D67" t="str">
            <v>ZUNINO</v>
          </cell>
          <cell r="E67" t="str">
            <v>PROVISION Y COLOCACION DE BANDAS AUTOADHESIVAS</v>
          </cell>
          <cell r="F67" t="str">
            <v xml:space="preserve">SUCURSALES VARIAS </v>
          </cell>
          <cell r="G67">
            <v>180</v>
          </cell>
          <cell r="H67" t="str">
            <v>MARKA COMUNICACIONES GRÁFICAS SA</v>
          </cell>
          <cell r="I67">
            <v>73170</v>
          </cell>
          <cell r="L67">
            <v>41355</v>
          </cell>
          <cell r="M67">
            <v>41361</v>
          </cell>
          <cell r="AJ67" t="str">
            <v>EN EJECUCION</v>
          </cell>
        </row>
        <row r="68">
          <cell r="B68">
            <v>108247</v>
          </cell>
          <cell r="C68">
            <v>10952</v>
          </cell>
          <cell r="D68" t="str">
            <v>RIZZARDI</v>
          </cell>
          <cell r="E68" t="str">
            <v>PROVISIÓN, INSTALACIÓN Y PUESTA EN SERVICIO DE NUEVOS PUESTOS DE TRABAJO DE CABLEADO ESTRUCTURADO - RED 557</v>
          </cell>
          <cell r="F68" t="str">
            <v>SUCURSAL RAMOS MEJÍA</v>
          </cell>
          <cell r="G68">
            <v>40</v>
          </cell>
          <cell r="H68" t="str">
            <v>SYSTEMNET S.A.</v>
          </cell>
          <cell r="I68">
            <v>95388.61</v>
          </cell>
          <cell r="K68" t="str">
            <v>EJECUCION</v>
          </cell>
          <cell r="L68">
            <v>41340</v>
          </cell>
          <cell r="M68">
            <v>41339</v>
          </cell>
          <cell r="O68">
            <v>41351</v>
          </cell>
          <cell r="R68">
            <v>41358</v>
          </cell>
          <cell r="S68" t="str">
            <v>xx</v>
          </cell>
          <cell r="T68">
            <v>41351</v>
          </cell>
          <cell r="U68">
            <v>41391</v>
          </cell>
          <cell r="X68">
            <v>41391</v>
          </cell>
          <cell r="AJ68" t="str">
            <v>En ejecución</v>
          </cell>
        </row>
        <row r="69">
          <cell r="B69">
            <v>108388</v>
          </cell>
          <cell r="C69">
            <v>10953</v>
          </cell>
          <cell r="D69" t="str">
            <v>FERNANDEZ</v>
          </cell>
          <cell r="E69" t="str">
            <v>PROVISIÓN, INSTALACIÓN Y PUESTA EN SERVICIO DE NUEVOS PUESTOS DE TRABAJO DE CABLEADO ESTRUCTURADO - RED 558</v>
          </cell>
          <cell r="F69" t="str">
            <v>SUCURSAL EL PALOMAR</v>
          </cell>
          <cell r="G69">
            <v>45</v>
          </cell>
          <cell r="H69" t="str">
            <v>SYSTEMNET S.A.</v>
          </cell>
          <cell r="I69">
            <v>82938.02</v>
          </cell>
          <cell r="L69">
            <v>41346</v>
          </cell>
          <cell r="M69">
            <v>41345</v>
          </cell>
        </row>
        <row r="70">
          <cell r="B70">
            <v>108421</v>
          </cell>
          <cell r="C70">
            <v>10954</v>
          </cell>
          <cell r="D70" t="str">
            <v>RIZZARDI</v>
          </cell>
          <cell r="E70" t="str">
            <v>PROVISIÓN Y COLOCACIÓN DE CARTEL INSTITUCIONAL DE FACHADA</v>
          </cell>
          <cell r="F70" t="str">
            <v>EDIFICIO ANEXO OPERATIVO PERÓN</v>
          </cell>
          <cell r="G70">
            <v>10</v>
          </cell>
          <cell r="H70" t="str">
            <v>FE PUBLICIDAD ARGENTINA S.A.</v>
          </cell>
          <cell r="I70">
            <v>86723</v>
          </cell>
          <cell r="K70" t="str">
            <v>REC. DEF.</v>
          </cell>
          <cell r="L70">
            <v>41346</v>
          </cell>
          <cell r="M70">
            <v>41348</v>
          </cell>
          <cell r="P70">
            <v>41355</v>
          </cell>
          <cell r="T70">
            <v>41376</v>
          </cell>
          <cell r="U70">
            <v>41386</v>
          </cell>
          <cell r="X70">
            <v>41386</v>
          </cell>
          <cell r="Z70">
            <v>41384</v>
          </cell>
          <cell r="AA70">
            <v>41564</v>
          </cell>
          <cell r="AB70">
            <v>41565</v>
          </cell>
          <cell r="AJ70" t="str">
            <v>con definitiva</v>
          </cell>
        </row>
        <row r="71">
          <cell r="B71">
            <v>108643</v>
          </cell>
          <cell r="C71">
            <v>10955</v>
          </cell>
          <cell r="D71" t="str">
            <v>RIZZARDI</v>
          </cell>
          <cell r="E71" t="str">
            <v>PROVISIÓN DE BUZONES ANTIASALTO PARA STOCK Y COFRES PARA USO DE TESORERÍA,</v>
          </cell>
          <cell r="F71" t="str">
            <v>STOCK</v>
          </cell>
          <cell r="G71">
            <v>60</v>
          </cell>
          <cell r="H71" t="str">
            <v xml:space="preserve">SEGURIDAD IRON BOX </v>
          </cell>
          <cell r="I71">
            <v>731300</v>
          </cell>
          <cell r="K71" t="str">
            <v>REC. PROV.</v>
          </cell>
          <cell r="L71">
            <v>41358</v>
          </cell>
          <cell r="M71">
            <v>41358</v>
          </cell>
          <cell r="O71">
            <v>41375</v>
          </cell>
          <cell r="R71">
            <v>41386</v>
          </cell>
          <cell r="S71" t="str">
            <v>xx</v>
          </cell>
          <cell r="T71">
            <v>41374</v>
          </cell>
          <cell r="U71">
            <v>41434</v>
          </cell>
          <cell r="V71" t="str">
            <v>xx</v>
          </cell>
          <cell r="W71" t="str">
            <v>xx</v>
          </cell>
          <cell r="X71">
            <v>41434</v>
          </cell>
          <cell r="Z71">
            <v>41418</v>
          </cell>
          <cell r="AA71">
            <v>41598</v>
          </cell>
          <cell r="AB71">
            <v>41597</v>
          </cell>
          <cell r="AJ71" t="str">
            <v>con definitiva</v>
          </cell>
        </row>
        <row r="72">
          <cell r="B72">
            <v>109683</v>
          </cell>
          <cell r="C72">
            <v>10959</v>
          </cell>
          <cell r="D72" t="str">
            <v>RIZZARDI</v>
          </cell>
          <cell r="E72" t="str">
            <v>REPLANTEO Y PRESENTACION DE UN PROYECTO ELECTRICO</v>
          </cell>
          <cell r="F72" t="str">
            <v>CASA CENTRAL</v>
          </cell>
          <cell r="G72">
            <v>180</v>
          </cell>
          <cell r="H72" t="str">
            <v>IP ELECTRO SRL</v>
          </cell>
          <cell r="I72">
            <v>326325</v>
          </cell>
          <cell r="K72" t="str">
            <v>EJECUCION</v>
          </cell>
          <cell r="L72">
            <v>41430</v>
          </cell>
          <cell r="M72">
            <v>41430</v>
          </cell>
          <cell r="O72">
            <v>41439</v>
          </cell>
          <cell r="Q72">
            <v>41528</v>
          </cell>
          <cell r="R72">
            <v>41457</v>
          </cell>
          <cell r="S72" t="str">
            <v>xx</v>
          </cell>
          <cell r="T72">
            <v>41456</v>
          </cell>
          <cell r="U72">
            <v>41636</v>
          </cell>
          <cell r="V72">
            <v>54</v>
          </cell>
          <cell r="W72">
            <v>89</v>
          </cell>
          <cell r="X72">
            <v>41725</v>
          </cell>
          <cell r="Z72">
            <v>41779</v>
          </cell>
          <cell r="AA72">
            <v>41959</v>
          </cell>
          <cell r="AD72">
            <v>62580</v>
          </cell>
          <cell r="AJ72" t="str">
            <v>Con fecha 07/01/2015 se envia a tecnica por definitiva.-</v>
          </cell>
        </row>
        <row r="73">
          <cell r="B73">
            <v>110379</v>
          </cell>
          <cell r="C73">
            <v>10960</v>
          </cell>
          <cell r="D73" t="str">
            <v>RIZZARDI</v>
          </cell>
          <cell r="E73" t="str">
            <v>TRABAJOS DE ADECUACIÓN DEL SISTEMA DE CCTV POR REMODELACIÓN</v>
          </cell>
          <cell r="F73" t="str">
            <v>SUCURSAL BERNAL Y DELEGACIÓN LLAVALLOL</v>
          </cell>
          <cell r="G73">
            <v>150</v>
          </cell>
          <cell r="H73" t="str">
            <v>XIDEN SACI</v>
          </cell>
          <cell r="I73">
            <v>359014.5</v>
          </cell>
          <cell r="K73" t="str">
            <v>EJECUCION</v>
          </cell>
          <cell r="L73">
            <v>41470</v>
          </cell>
          <cell r="M73">
            <v>41471</v>
          </cell>
          <cell r="O73">
            <v>41480</v>
          </cell>
          <cell r="P73">
            <v>41480</v>
          </cell>
          <cell r="Q73">
            <v>41639</v>
          </cell>
          <cell r="R73">
            <v>41494</v>
          </cell>
          <cell r="T73">
            <v>41509</v>
          </cell>
          <cell r="U73">
            <v>41659</v>
          </cell>
          <cell r="X73">
            <v>41659</v>
          </cell>
          <cell r="AJ73" t="str">
            <v>EN EJECUCION. Obra paralizada desde el 23/10/13</v>
          </cell>
        </row>
        <row r="74">
          <cell r="B74">
            <v>109746</v>
          </cell>
          <cell r="C74">
            <v>10961</v>
          </cell>
          <cell r="D74" t="str">
            <v>FORCINITI</v>
          </cell>
          <cell r="E74" t="str">
            <v>TRABAJOS DE ADECUACION DEL SISTEMA DE CCTV POR REMODELACIÓN</v>
          </cell>
          <cell r="F74" t="str">
            <v>SUCURSAL EL PALOMAR</v>
          </cell>
          <cell r="G74">
            <v>30</v>
          </cell>
          <cell r="H74" t="str">
            <v>XIDEN SACI</v>
          </cell>
          <cell r="I74">
            <v>207783</v>
          </cell>
          <cell r="K74" t="str">
            <v>REC. PROV.</v>
          </cell>
          <cell r="L74">
            <v>41432</v>
          </cell>
          <cell r="M74">
            <v>41432</v>
          </cell>
          <cell r="O74">
            <v>41443</v>
          </cell>
          <cell r="P74">
            <v>41438</v>
          </cell>
          <cell r="R74">
            <v>41456</v>
          </cell>
          <cell r="T74">
            <v>41452</v>
          </cell>
          <cell r="U74">
            <v>41482</v>
          </cell>
          <cell r="X74">
            <v>41482</v>
          </cell>
          <cell r="Z74">
            <v>41481</v>
          </cell>
          <cell r="AA74">
            <v>41661</v>
          </cell>
          <cell r="AJ74" t="str">
            <v>Obra con provisoria y en garantía.Con fecha 27/9/13 se recibe adicional</v>
          </cell>
        </row>
        <row r="75">
          <cell r="B75">
            <v>109491</v>
          </cell>
          <cell r="C75">
            <v>10962</v>
          </cell>
          <cell r="D75" t="str">
            <v>RIZZARDI</v>
          </cell>
          <cell r="E75" t="str">
            <v>PROVISIÓN E INSTALACIÓN DE TESORONES MÓVILES Y PUERTAS BUNKER</v>
          </cell>
          <cell r="F75" t="str">
            <v>SUCURSALES LINCOLN, BRAGADO Y SAN MIGUEL.</v>
          </cell>
          <cell r="G75">
            <v>30</v>
          </cell>
          <cell r="H75" t="str">
            <v>LA GUARDIANA S.A.I.C.I.</v>
          </cell>
          <cell r="I75">
            <v>854560</v>
          </cell>
          <cell r="K75" t="str">
            <v>REC. PROV.</v>
          </cell>
          <cell r="L75">
            <v>41418</v>
          </cell>
          <cell r="M75">
            <v>41422</v>
          </cell>
          <cell r="O75">
            <v>41429</v>
          </cell>
          <cell r="P75">
            <v>41424</v>
          </cell>
          <cell r="Q75" t="str">
            <v>xx</v>
          </cell>
          <cell r="R75">
            <v>41438</v>
          </cell>
          <cell r="S75" t="str">
            <v>xx</v>
          </cell>
          <cell r="T75">
            <v>41429</v>
          </cell>
          <cell r="U75">
            <v>41459</v>
          </cell>
          <cell r="V75">
            <v>33</v>
          </cell>
          <cell r="X75">
            <v>41459</v>
          </cell>
          <cell r="Z75">
            <v>41492</v>
          </cell>
          <cell r="AA75">
            <v>41672</v>
          </cell>
          <cell r="AJ75" t="str">
            <v>Obra con provisoria y en garantía</v>
          </cell>
        </row>
        <row r="76">
          <cell r="B76">
            <v>109305</v>
          </cell>
          <cell r="C76">
            <v>10963</v>
          </cell>
          <cell r="D76" t="str">
            <v>FERNANDEZ</v>
          </cell>
          <cell r="E76" t="str">
            <v>ADECUACIÓN DE BIENES DE SEGURIDAD</v>
          </cell>
          <cell r="F76" t="str">
            <v>DELEGACIÓN TORDILLO, SUCURSAL TRIBUNALES AZUL Y ANEXO CAR LURO</v>
          </cell>
          <cell r="G76">
            <v>30</v>
          </cell>
          <cell r="H76" t="str">
            <v>SEGURIDAD IRON BOX S.A.</v>
          </cell>
          <cell r="I76">
            <v>97650</v>
          </cell>
          <cell r="K76" t="str">
            <v>REC. PROV.</v>
          </cell>
          <cell r="L76">
            <v>41407</v>
          </cell>
          <cell r="M76">
            <v>41404</v>
          </cell>
          <cell r="T76">
            <v>41415</v>
          </cell>
          <cell r="X76">
            <v>41445</v>
          </cell>
          <cell r="Z76">
            <v>41423</v>
          </cell>
          <cell r="AA76">
            <v>41603</v>
          </cell>
          <cell r="AJ76" t="str">
            <v xml:space="preserve">Obra finalizada y en garantía </v>
          </cell>
        </row>
        <row r="77">
          <cell r="B77">
            <v>110434</v>
          </cell>
          <cell r="C77">
            <v>10968</v>
          </cell>
          <cell r="D77" t="str">
            <v>RIZZARDI</v>
          </cell>
          <cell r="E77" t="str">
            <v>ADECUACIÓN DEL SISTEMA DE CCTV POR REMODELACIÓN</v>
          </cell>
          <cell r="F77" t="str">
            <v>SUCURSAL FLORENCIO VARELA</v>
          </cell>
          <cell r="G77">
            <v>30</v>
          </cell>
          <cell r="H77" t="str">
            <v>CITARELLA S.A.</v>
          </cell>
          <cell r="I77">
            <v>300562.05</v>
          </cell>
          <cell r="K77" t="str">
            <v>EJECUCION</v>
          </cell>
          <cell r="L77">
            <v>41474</v>
          </cell>
          <cell r="M77">
            <v>41473</v>
          </cell>
          <cell r="O77">
            <v>41485</v>
          </cell>
          <cell r="P77">
            <v>41481</v>
          </cell>
          <cell r="Q77">
            <v>41908</v>
          </cell>
          <cell r="R77">
            <v>41495</v>
          </cell>
          <cell r="T77">
            <v>41508</v>
          </cell>
          <cell r="U77">
            <v>41538</v>
          </cell>
          <cell r="X77">
            <v>41538</v>
          </cell>
          <cell r="AJ77" t="str">
            <v>Con fecha 27/09/2013 se recibe acta de inicio y ordenes de servicio Nº 1,2 y 3.-</v>
          </cell>
        </row>
        <row r="78">
          <cell r="B78">
            <v>110381</v>
          </cell>
          <cell r="C78">
            <v>10969</v>
          </cell>
          <cell r="D78" t="str">
            <v>RIZZARDI</v>
          </cell>
          <cell r="E78" t="str">
            <v>TRABAJOS DE ADECUACIÓN DEL SISTEMA DE CCTV POR REMODELACIÓN</v>
          </cell>
          <cell r="F78" t="str">
            <v>SUCURSAL VILLA ADELINA</v>
          </cell>
          <cell r="G78">
            <v>30</v>
          </cell>
          <cell r="H78" t="str">
            <v>CITARELLA S.A.</v>
          </cell>
          <cell r="I78">
            <v>87643.199999999997</v>
          </cell>
          <cell r="K78" t="str">
            <v>EJECUCION</v>
          </cell>
          <cell r="L78">
            <v>41472</v>
          </cell>
          <cell r="M78">
            <v>41471</v>
          </cell>
          <cell r="O78">
            <v>41481</v>
          </cell>
          <cell r="P78">
            <v>41477</v>
          </cell>
          <cell r="Q78">
            <v>41573</v>
          </cell>
          <cell r="R78">
            <v>41491</v>
          </cell>
          <cell r="T78">
            <v>41516</v>
          </cell>
          <cell r="U78">
            <v>41546</v>
          </cell>
          <cell r="AJ78" t="str">
            <v xml:space="preserve">Con fecha 05/12 se consulta a tecnica estado de situacion de obra, existencia de ampliacion de plazo y si el saldo sera economizado.- </v>
          </cell>
        </row>
        <row r="79">
          <cell r="B79">
            <v>109545</v>
          </cell>
          <cell r="C79">
            <v>10977</v>
          </cell>
          <cell r="D79" t="str">
            <v>FORCINITI</v>
          </cell>
          <cell r="E79" t="str">
            <v>PROVISIÓN E INSTALACIÓN DE BUNKER ANTIFAL</v>
          </cell>
          <cell r="F79" t="str">
            <v>TRES LOMAS</v>
          </cell>
          <cell r="G79">
            <v>30</v>
          </cell>
          <cell r="H79" t="str">
            <v>LA GUARDIANA S.A.I.C.I.</v>
          </cell>
          <cell r="I79">
            <v>168224</v>
          </cell>
          <cell r="K79" t="str">
            <v>REC. PROV.</v>
          </cell>
          <cell r="L79">
            <v>41424</v>
          </cell>
          <cell r="M79">
            <v>41423</v>
          </cell>
          <cell r="O79">
            <v>41432</v>
          </cell>
          <cell r="R79">
            <v>41446</v>
          </cell>
          <cell r="T79">
            <v>41437</v>
          </cell>
          <cell r="U79">
            <v>41467</v>
          </cell>
          <cell r="X79">
            <v>41467</v>
          </cell>
          <cell r="Z79">
            <v>41467</v>
          </cell>
          <cell r="AA79">
            <v>41647</v>
          </cell>
          <cell r="AJ79" t="str">
            <v>Obra con provisoria y en garantía.</v>
          </cell>
        </row>
        <row r="80">
          <cell r="B80">
            <v>109687</v>
          </cell>
          <cell r="C80">
            <v>10978</v>
          </cell>
          <cell r="D80" t="str">
            <v>RIZZARDI</v>
          </cell>
          <cell r="E80" t="str">
            <v>ADECUACIÓN DEL SISTEMA DE CCTV POR REMODELACIÓN</v>
          </cell>
          <cell r="F80" t="str">
            <v>SUCURSAL CALLAO</v>
          </cell>
          <cell r="G80">
            <v>30</v>
          </cell>
          <cell r="H80" t="str">
            <v>TECNOLOGÍA EN SEGURIDAD S.R.L.</v>
          </cell>
          <cell r="I80">
            <v>228686</v>
          </cell>
          <cell r="K80" t="str">
            <v>REC. PROV.</v>
          </cell>
          <cell r="L80">
            <v>41432</v>
          </cell>
          <cell r="M80">
            <v>41432</v>
          </cell>
          <cell r="O80">
            <v>41442</v>
          </cell>
          <cell r="P80">
            <v>41439</v>
          </cell>
          <cell r="Q80">
            <v>41571</v>
          </cell>
          <cell r="R80">
            <v>41457</v>
          </cell>
          <cell r="T80">
            <v>41451</v>
          </cell>
          <cell r="U80">
            <v>41481</v>
          </cell>
          <cell r="V80">
            <v>36</v>
          </cell>
          <cell r="X80">
            <v>41481</v>
          </cell>
          <cell r="Z80">
            <v>41562</v>
          </cell>
          <cell r="AJ80" t="str">
            <v>OBRA CON PROVISORIA Y EN GARANTIA</v>
          </cell>
        </row>
        <row r="81">
          <cell r="B81">
            <v>110661</v>
          </cell>
          <cell r="C81">
            <v>10981</v>
          </cell>
          <cell r="D81" t="str">
            <v>RIZZARDI</v>
          </cell>
          <cell r="E81" t="str">
            <v>REPARACIÓN Y PUESTA EN MARCHA DE DOS MOTOCOMPRESORES Y TRABAJOS VARIOS</v>
          </cell>
          <cell r="F81" t="str">
            <v>SUCURSAL SAN JUSTO</v>
          </cell>
          <cell r="G81">
            <v>45</v>
          </cell>
          <cell r="H81" t="str">
            <v>BRV INSTALACIONES TERMOMECANICAS</v>
          </cell>
          <cell r="I81">
            <v>163466</v>
          </cell>
          <cell r="K81" t="str">
            <v>REC. PROV.</v>
          </cell>
          <cell r="L81">
            <v>41486</v>
          </cell>
          <cell r="M81">
            <v>41485</v>
          </cell>
          <cell r="O81">
            <v>41494</v>
          </cell>
          <cell r="P81">
            <v>41498</v>
          </cell>
          <cell r="R81">
            <v>41515</v>
          </cell>
          <cell r="T81">
            <v>41509</v>
          </cell>
          <cell r="U81">
            <v>41554</v>
          </cell>
          <cell r="X81">
            <v>41554</v>
          </cell>
          <cell r="Z81">
            <v>41548</v>
          </cell>
          <cell r="AA81">
            <v>41728</v>
          </cell>
          <cell r="AJ81" t="str">
            <v>Obra con provisoria y en garantía</v>
          </cell>
        </row>
        <row r="82">
          <cell r="B82">
            <v>111512</v>
          </cell>
          <cell r="C82">
            <v>10985</v>
          </cell>
          <cell r="D82" t="str">
            <v>RIZZARDI</v>
          </cell>
          <cell r="E82" t="str">
            <v>PROVISIÓN DE MOBILIARIO MADERA COLOR PERAL</v>
          </cell>
          <cell r="F82" t="str">
            <v>SUCURSAL NUEVA POMPEYA</v>
          </cell>
          <cell r="G82">
            <v>45</v>
          </cell>
          <cell r="H82" t="str">
            <v>ADJUDICADO</v>
          </cell>
          <cell r="K82" t="str">
            <v>EJECUCION</v>
          </cell>
          <cell r="L82">
            <v>41524</v>
          </cell>
          <cell r="M82">
            <v>41536</v>
          </cell>
          <cell r="P82">
            <v>41550</v>
          </cell>
          <cell r="T82">
            <v>41563</v>
          </cell>
          <cell r="U82">
            <v>41608</v>
          </cell>
          <cell r="X82">
            <v>41608</v>
          </cell>
          <cell r="AJ82" t="str">
            <v>EN EJECUCION</v>
          </cell>
        </row>
        <row r="83">
          <cell r="B83">
            <v>111038</v>
          </cell>
          <cell r="C83">
            <v>10986</v>
          </cell>
          <cell r="D83" t="str">
            <v>RIZZARDI</v>
          </cell>
          <cell r="E83" t="str">
            <v>TRABAJOS DE ADECUACIÓN DEL SISTEMA DE CCTV POR REMODELACIÓN.</v>
          </cell>
          <cell r="F83" t="str">
            <v>SUCURSAL PERGAMINO</v>
          </cell>
          <cell r="G83">
            <v>60</v>
          </cell>
          <cell r="H83" t="str">
            <v>CITARELLA S.A.</v>
          </cell>
          <cell r="I83">
            <v>137097</v>
          </cell>
          <cell r="L83">
            <v>41512</v>
          </cell>
          <cell r="M83">
            <v>41513</v>
          </cell>
          <cell r="O83">
            <v>41521</v>
          </cell>
          <cell r="P83">
            <v>41520</v>
          </cell>
          <cell r="Q83">
            <v>41576</v>
          </cell>
          <cell r="R83">
            <v>41534</v>
          </cell>
          <cell r="AJ83" t="str">
            <v>Con fecha 20/9/13 se envio autorizacion de personal</v>
          </cell>
        </row>
        <row r="84">
          <cell r="B84">
            <v>110073</v>
          </cell>
          <cell r="C84">
            <v>10987</v>
          </cell>
          <cell r="D84" t="str">
            <v>RIZZARDI</v>
          </cell>
          <cell r="E84" t="str">
            <v>PROVISIÓN Y COLOCACIÓN MOBILIARIO MADERA COLOR PERAL</v>
          </cell>
          <cell r="F84" t="str">
            <v>EDIFICIO CASA CENTRAL PRESIDENTE ARTURO JAURETCHE, 5º PISO, SECTOR "A" - ESTUDIOS ECONÓMICOS -</v>
          </cell>
          <cell r="G84">
            <v>60</v>
          </cell>
          <cell r="H84" t="str">
            <v>EQUIPAMIENTO DE EMPRESAS S.A.</v>
          </cell>
          <cell r="I84">
            <v>169660</v>
          </cell>
          <cell r="K84" t="str">
            <v>EJECUCION</v>
          </cell>
          <cell r="L84">
            <v>41456</v>
          </cell>
          <cell r="M84">
            <v>41456</v>
          </cell>
          <cell r="O84">
            <v>41466</v>
          </cell>
          <cell r="P84">
            <v>41465</v>
          </cell>
          <cell r="Q84">
            <v>41543</v>
          </cell>
          <cell r="R84">
            <v>41479</v>
          </cell>
          <cell r="T84">
            <v>41507</v>
          </cell>
          <cell r="U84">
            <v>41567</v>
          </cell>
          <cell r="AJ84" t="str">
            <v>Con fecha 03.12.13 se solicita novedades a tecnica acerca del lapso comprendido entre el vencimineto de inicio y el acta de inicio.-</v>
          </cell>
        </row>
        <row r="85">
          <cell r="B85">
            <v>110468</v>
          </cell>
          <cell r="C85">
            <v>10989</v>
          </cell>
          <cell r="D85" t="str">
            <v>FORCINITI</v>
          </cell>
          <cell r="E85" t="str">
            <v>MODIFICACIÓN DE LAS INSTALACIONES DE AIRE ACONDICIONADO Y CALEFACCIÓN</v>
          </cell>
          <cell r="F85" t="str">
            <v>CASA CENTRAL PRESIDENTE ARTURO JAURETCHE - 5° PISO, SECTOR "A"</v>
          </cell>
          <cell r="G85">
            <v>75</v>
          </cell>
          <cell r="H85" t="str">
            <v xml:space="preserve">ACLIMATAR S.R.L. </v>
          </cell>
          <cell r="I85">
            <v>430385.03</v>
          </cell>
          <cell r="K85" t="str">
            <v>EJECUCION</v>
          </cell>
          <cell r="M85">
            <v>41478</v>
          </cell>
          <cell r="T85">
            <v>41507</v>
          </cell>
          <cell r="U85">
            <v>41582</v>
          </cell>
          <cell r="X85">
            <v>41582</v>
          </cell>
          <cell r="AJ85" t="str">
            <v>EN EJECUCION. Con fecha 21/11/13 se recibe os de paralización de obra desde el 25/10/13</v>
          </cell>
        </row>
        <row r="86">
          <cell r="B86">
            <v>111444</v>
          </cell>
          <cell r="C86">
            <v>10991</v>
          </cell>
          <cell r="D86" t="str">
            <v>RIZZARDI</v>
          </cell>
          <cell r="E86" t="str">
            <v>DESCONEXIÓN, PROVISIÓN E INSTALACIÓN DE SENSORES DE ALARMAS POR BLINDAJES EN CAJAS DE SEGURIDAD</v>
          </cell>
          <cell r="F86" t="str">
            <v>SUCURSALES VARIAS - ZONA SUBURBANA E INTERIOR NORTE Y SUR</v>
          </cell>
          <cell r="G86">
            <v>60</v>
          </cell>
          <cell r="H86" t="str">
            <v>ELENAVI S.R.L.</v>
          </cell>
          <cell r="I86">
            <v>210006.56</v>
          </cell>
          <cell r="K86" t="str">
            <v>EJECUCION</v>
          </cell>
          <cell r="L86">
            <v>41540</v>
          </cell>
          <cell r="M86">
            <v>41541</v>
          </cell>
          <cell r="O86">
            <v>41550</v>
          </cell>
          <cell r="P86">
            <v>41550</v>
          </cell>
          <cell r="R86">
            <v>41565</v>
          </cell>
          <cell r="T86">
            <v>41556</v>
          </cell>
          <cell r="U86">
            <v>41616</v>
          </cell>
          <cell r="X86">
            <v>41616</v>
          </cell>
          <cell r="AJ86" t="str">
            <v>EN EJECUCION</v>
          </cell>
        </row>
        <row r="87">
          <cell r="B87">
            <v>110308</v>
          </cell>
          <cell r="C87">
            <v>10992</v>
          </cell>
          <cell r="D87" t="str">
            <v>RIZZARDI</v>
          </cell>
          <cell r="E87" t="str">
            <v>AMPLIACIÓN DE LOS SISTEMAS DE ALARMAS POLICIAL Y ELECTRÓNICO</v>
          </cell>
          <cell r="F87" t="str">
            <v>SUCURSALES VARIAS DE LA ZONA INTERIOR NORTE DE LA PROVINCIA DE BUENOS AIRES</v>
          </cell>
          <cell r="G87">
            <v>30</v>
          </cell>
          <cell r="H87" t="str">
            <v>DELTA COMUNICACIONES S.R.L.</v>
          </cell>
          <cell r="I87">
            <v>428077.15</v>
          </cell>
          <cell r="K87" t="str">
            <v>EJECUCION</v>
          </cell>
          <cell r="L87">
            <v>41470</v>
          </cell>
          <cell r="M87">
            <v>41471</v>
          </cell>
          <cell r="O87">
            <v>41480</v>
          </cell>
          <cell r="P87">
            <v>41480</v>
          </cell>
          <cell r="R87">
            <v>41494</v>
          </cell>
          <cell r="T87">
            <v>41495</v>
          </cell>
          <cell r="U87">
            <v>41525</v>
          </cell>
          <cell r="W87">
            <v>7</v>
          </cell>
          <cell r="X87">
            <v>41533</v>
          </cell>
          <cell r="Z87">
            <v>41508</v>
          </cell>
          <cell r="AA87">
            <v>41688</v>
          </cell>
          <cell r="AD87">
            <v>78037.850000000006</v>
          </cell>
          <cell r="AJ87" t="str">
            <v>obra en provisoria y garantia</v>
          </cell>
        </row>
        <row r="88">
          <cell r="B88">
            <v>110694</v>
          </cell>
          <cell r="C88">
            <v>10993</v>
          </cell>
          <cell r="D88" t="str">
            <v>RIZZARDI</v>
          </cell>
          <cell r="E88" t="str">
            <v>TRABAJOS DE ADECUACIÓN DEL SISTEMA DE CCTV POR REMODELACIÓN.</v>
          </cell>
          <cell r="F88" t="str">
            <v>SUCURSAL BOULOGNE SUR MER</v>
          </cell>
          <cell r="G88">
            <v>30</v>
          </cell>
          <cell r="H88" t="str">
            <v>XIDEN SACI</v>
          </cell>
          <cell r="I88">
            <v>106904</v>
          </cell>
          <cell r="K88" t="str">
            <v>REC. PROV.</v>
          </cell>
          <cell r="L88">
            <v>41487</v>
          </cell>
          <cell r="M88">
            <v>41486</v>
          </cell>
          <cell r="O88">
            <v>41498</v>
          </cell>
          <cell r="P88">
            <v>41498</v>
          </cell>
          <cell r="R88">
            <v>41513</v>
          </cell>
          <cell r="S88">
            <v>10</v>
          </cell>
          <cell r="T88">
            <v>41523</v>
          </cell>
          <cell r="U88">
            <v>41553</v>
          </cell>
          <cell r="V88">
            <v>11</v>
          </cell>
          <cell r="X88">
            <v>41553</v>
          </cell>
          <cell r="Z88">
            <v>41564</v>
          </cell>
          <cell r="AA88">
            <v>41744</v>
          </cell>
          <cell r="AJ88" t="str">
            <v>Obra con provisoria y en garantia. El saldo de obra esta afectado al año 2014.-</v>
          </cell>
        </row>
        <row r="89">
          <cell r="B89">
            <v>110731</v>
          </cell>
          <cell r="C89">
            <v>10994</v>
          </cell>
          <cell r="D89" t="str">
            <v>RIZZARDI</v>
          </cell>
          <cell r="E89" t="str">
            <v xml:space="preserve">DESCONEXIÓN, PROVISIÓN, INSTALACIÓN E INTERCONEXIONADO DE LOS SISTEMAS DE ALARMAS POLICIAL Y ELECTRÓNICA POR REMODELACIÓN </v>
          </cell>
          <cell r="F89" t="str">
            <v>SUCURSAL SAN MIGUEL</v>
          </cell>
          <cell r="G89">
            <v>30</v>
          </cell>
          <cell r="H89" t="str">
            <v>TYSSE S.A.</v>
          </cell>
          <cell r="I89">
            <v>213306.64</v>
          </cell>
          <cell r="K89" t="str">
            <v>EJECUCION</v>
          </cell>
          <cell r="L89">
            <v>41488</v>
          </cell>
          <cell r="M89">
            <v>41491</v>
          </cell>
          <cell r="O89">
            <v>41505</v>
          </cell>
          <cell r="P89">
            <v>41501</v>
          </cell>
          <cell r="R89">
            <v>41516</v>
          </cell>
          <cell r="T89">
            <v>41520</v>
          </cell>
          <cell r="U89">
            <v>41550</v>
          </cell>
          <cell r="X89">
            <v>41550</v>
          </cell>
          <cell r="AJ89" t="str">
            <v>EN EJECUCION</v>
          </cell>
        </row>
        <row r="90">
          <cell r="B90">
            <v>110488</v>
          </cell>
          <cell r="C90">
            <v>10995</v>
          </cell>
          <cell r="D90" t="str">
            <v>RIZZARDI</v>
          </cell>
          <cell r="E90" t="str">
            <v xml:space="preserve">PROVISIÓN Y COLOCACIÓN DE MOBILIARIO MADERA COLOR PERAL </v>
          </cell>
          <cell r="F90" t="str">
            <v>5° PISO CASA CENTRAL - SECTOR CONTROL Y GESTIÓN</v>
          </cell>
          <cell r="G90">
            <v>60</v>
          </cell>
          <cell r="H90" t="str">
            <v>EQUIPAMIENTO DE EMPRESAS S.A.</v>
          </cell>
          <cell r="I90">
            <v>130808</v>
          </cell>
          <cell r="K90" t="str">
            <v>EJECUCION</v>
          </cell>
          <cell r="L90">
            <v>41479</v>
          </cell>
          <cell r="M90">
            <v>41478</v>
          </cell>
          <cell r="O90">
            <v>41493</v>
          </cell>
          <cell r="P90">
            <v>41486</v>
          </cell>
          <cell r="Q90">
            <v>41543</v>
          </cell>
          <cell r="R90">
            <v>41500</v>
          </cell>
          <cell r="T90">
            <v>41507</v>
          </cell>
          <cell r="U90">
            <v>41567</v>
          </cell>
          <cell r="AJ90" t="str">
            <v>Con fecha 03.12.13 se solicita novedades a tecnica acerca del lapso comprendido entre el vto. para el inicio y el acta de inicio.- Trabajos suspendidos desde el 18/10/13</v>
          </cell>
        </row>
        <row r="91">
          <cell r="B91">
            <v>110077</v>
          </cell>
          <cell r="C91">
            <v>10996</v>
          </cell>
          <cell r="D91" t="str">
            <v>RIZZARDI</v>
          </cell>
          <cell r="E91" t="str">
            <v>PROVISIÓN E INSTALACIÓN DE SECCIONES DE COFRES DE SEGURIDAD PARA ALQUILER</v>
          </cell>
          <cell r="F91" t="str">
            <v>SUCURSAL PERGAMINO</v>
          </cell>
          <cell r="G91">
            <v>30</v>
          </cell>
          <cell r="H91" t="str">
            <v>LA GUARDIANA S.A.I.C.I.</v>
          </cell>
          <cell r="I91">
            <v>540288</v>
          </cell>
          <cell r="K91" t="str">
            <v>REC. PROV.</v>
          </cell>
          <cell r="L91">
            <v>41466</v>
          </cell>
          <cell r="M91">
            <v>41456</v>
          </cell>
          <cell r="O91">
            <v>41478</v>
          </cell>
          <cell r="P91">
            <v>41478</v>
          </cell>
          <cell r="R91">
            <v>41492</v>
          </cell>
          <cell r="T91">
            <v>41481</v>
          </cell>
          <cell r="U91">
            <v>41511</v>
          </cell>
          <cell r="V91">
            <v>22</v>
          </cell>
          <cell r="Z91">
            <v>41533</v>
          </cell>
          <cell r="AA91">
            <v>41713</v>
          </cell>
          <cell r="AJ91" t="str">
            <v>Obra con provisoria y en garantia.</v>
          </cell>
        </row>
        <row r="92">
          <cell r="B92">
            <v>110506</v>
          </cell>
          <cell r="C92">
            <v>10998</v>
          </cell>
          <cell r="D92" t="str">
            <v>RIZZARDI</v>
          </cell>
          <cell r="E92" t="str">
            <v>TRABAJOS DE ADECUACIÓN DEL SISTEMA DE CCTV POR REMODELACIÓN</v>
          </cell>
          <cell r="F92" t="str">
            <v>DELEGACION TORDILLO</v>
          </cell>
          <cell r="G92">
            <v>30</v>
          </cell>
          <cell r="H92" t="str">
            <v>XIDEN SACI</v>
          </cell>
          <cell r="I92">
            <v>86632.6</v>
          </cell>
          <cell r="K92" t="str">
            <v>REC. PROV.</v>
          </cell>
          <cell r="L92">
            <v>41478</v>
          </cell>
          <cell r="M92">
            <v>41478</v>
          </cell>
          <cell r="O92">
            <v>41493</v>
          </cell>
          <cell r="P92">
            <v>41485</v>
          </cell>
          <cell r="Q92">
            <v>41639</v>
          </cell>
          <cell r="R92">
            <v>41499</v>
          </cell>
          <cell r="T92">
            <v>41502</v>
          </cell>
          <cell r="U92">
            <v>41532</v>
          </cell>
          <cell r="X92">
            <v>41532</v>
          </cell>
          <cell r="Z92">
            <v>41531</v>
          </cell>
          <cell r="AA92">
            <v>41711</v>
          </cell>
          <cell r="AE92">
            <v>2670</v>
          </cell>
          <cell r="AJ92" t="str">
            <v>Obra con provisoria y en garantía.</v>
          </cell>
        </row>
        <row r="93">
          <cell r="B93">
            <v>110263</v>
          </cell>
          <cell r="C93">
            <v>10997</v>
          </cell>
          <cell r="D93" t="str">
            <v>RIZZARDI</v>
          </cell>
          <cell r="E93" t="str">
            <v>TRABAJOS DE ADECUACIÓN DEL SISTEMA DE CCTV POR REMODELACIÓN</v>
          </cell>
          <cell r="F93" t="str">
            <v>SUCURSAL SAN MIGUEL</v>
          </cell>
          <cell r="G93">
            <v>30</v>
          </cell>
          <cell r="H93" t="str">
            <v>XIDEN SACI</v>
          </cell>
          <cell r="I93">
            <v>159280</v>
          </cell>
          <cell r="K93" t="str">
            <v>EJECUCION</v>
          </cell>
          <cell r="L93">
            <v>41466</v>
          </cell>
          <cell r="M93">
            <v>41467</v>
          </cell>
          <cell r="O93">
            <v>41477</v>
          </cell>
          <cell r="P93">
            <v>41474</v>
          </cell>
          <cell r="Q93">
            <v>41639</v>
          </cell>
          <cell r="R93">
            <v>41488</v>
          </cell>
          <cell r="T93">
            <v>41512</v>
          </cell>
          <cell r="U93">
            <v>41542</v>
          </cell>
          <cell r="X93">
            <v>41542</v>
          </cell>
          <cell r="Z93" t="str">
            <v>xx</v>
          </cell>
          <cell r="AA93" t="str">
            <v>xx</v>
          </cell>
          <cell r="AD93">
            <v>15944</v>
          </cell>
          <cell r="AJ93" t="str">
            <v>EN EJECUCION. Con fecha 27/11/13 se eleva adicional</v>
          </cell>
        </row>
        <row r="94">
          <cell r="B94">
            <v>110683</v>
          </cell>
          <cell r="C94">
            <v>11002</v>
          </cell>
          <cell r="D94" t="str">
            <v>RIZZARDI</v>
          </cell>
          <cell r="E94" t="str">
            <v>ADECUACIÓN DEL SISTEMA DE CCTV POR REMODELACIÓN</v>
          </cell>
          <cell r="F94" t="str">
            <v>SUCURSAL BRAGADO</v>
          </cell>
          <cell r="G94">
            <v>30</v>
          </cell>
          <cell r="H94" t="str">
            <v>XIDEN SACI</v>
          </cell>
          <cell r="I94">
            <v>267795</v>
          </cell>
          <cell r="K94" t="str">
            <v>EJECUCION</v>
          </cell>
          <cell r="L94">
            <v>41486</v>
          </cell>
          <cell r="M94">
            <v>41486</v>
          </cell>
          <cell r="O94">
            <v>41495</v>
          </cell>
          <cell r="P94">
            <v>41491</v>
          </cell>
          <cell r="Q94">
            <v>41639</v>
          </cell>
          <cell r="R94">
            <v>41505</v>
          </cell>
          <cell r="T94">
            <v>41506</v>
          </cell>
          <cell r="U94">
            <v>41536</v>
          </cell>
          <cell r="X94">
            <v>41536</v>
          </cell>
          <cell r="AJ94" t="str">
            <v>EN EJECUCION</v>
          </cell>
        </row>
        <row r="95">
          <cell r="B95">
            <v>110118</v>
          </cell>
          <cell r="C95">
            <v>11003</v>
          </cell>
          <cell r="D95" t="str">
            <v>RIZZARDI</v>
          </cell>
          <cell r="E95" t="str">
            <v>TRABAJOS VARIOS EN CUBIERTAS Y COMPLEMENTARIOS</v>
          </cell>
          <cell r="F95" t="str">
            <v>CASA CENTRAL PRESIDENTE ARTURO JAURETCHE Y BME MITRE 441</v>
          </cell>
          <cell r="G95">
            <v>120</v>
          </cell>
          <cell r="H95" t="str">
            <v>ZIMMA de Vanina M. Stachurski</v>
          </cell>
          <cell r="I95">
            <v>687999.96</v>
          </cell>
          <cell r="K95" t="str">
            <v>EJECUCION</v>
          </cell>
          <cell r="L95">
            <v>41457</v>
          </cell>
          <cell r="M95">
            <v>41458</v>
          </cell>
          <cell r="O95">
            <v>41466</v>
          </cell>
          <cell r="P95">
            <v>41466</v>
          </cell>
          <cell r="Q95">
            <v>41651</v>
          </cell>
          <cell r="R95">
            <v>41480</v>
          </cell>
          <cell r="T95">
            <v>41477</v>
          </cell>
          <cell r="U95">
            <v>41597</v>
          </cell>
          <cell r="W95">
            <v>40</v>
          </cell>
          <cell r="X95">
            <v>41637</v>
          </cell>
          <cell r="Z95" t="str">
            <v>xx</v>
          </cell>
          <cell r="AA95" t="str">
            <v>xx</v>
          </cell>
          <cell r="AD95">
            <v>65049.46</v>
          </cell>
          <cell r="AJ95" t="str">
            <v>EN EJECUCION. Con fecha 22/11/13 se eleva adicional y ampliación de plazo</v>
          </cell>
        </row>
        <row r="96">
          <cell r="B96">
            <v>111087</v>
          </cell>
          <cell r="C96">
            <v>11004</v>
          </cell>
          <cell r="D96" t="str">
            <v>FORCINITI</v>
          </cell>
          <cell r="E96" t="str">
            <v>REMODELACIÓN DE LA OFICINA DE CONTROL DE GESTIÓN</v>
          </cell>
          <cell r="F96" t="str">
            <v>CASA CENTRAL PRESIDENTE ARTURO JAURETCHE - 5° PISO, SECTOR "A" - CONTROL DE GESTION</v>
          </cell>
          <cell r="G96">
            <v>60</v>
          </cell>
          <cell r="H96" t="str">
            <v>SBAICSE</v>
          </cell>
          <cell r="I96">
            <v>825385.06</v>
          </cell>
          <cell r="K96" t="str">
            <v>EJECUCION</v>
          </cell>
          <cell r="L96">
            <v>41516</v>
          </cell>
          <cell r="M96">
            <v>41519</v>
          </cell>
          <cell r="N96">
            <v>247615.52</v>
          </cell>
          <cell r="O96">
            <v>41529</v>
          </cell>
          <cell r="P96">
            <v>41521</v>
          </cell>
          <cell r="Q96">
            <v>41892</v>
          </cell>
          <cell r="R96">
            <v>41535</v>
          </cell>
          <cell r="S96">
            <v>2</v>
          </cell>
          <cell r="T96">
            <v>41537</v>
          </cell>
          <cell r="U96">
            <v>41597</v>
          </cell>
          <cell r="W96">
            <v>10</v>
          </cell>
          <cell r="X96">
            <v>41607</v>
          </cell>
          <cell r="Z96" t="str">
            <v>xx</v>
          </cell>
          <cell r="AA96" t="str">
            <v>xx</v>
          </cell>
          <cell r="AD96">
            <v>107404.18</v>
          </cell>
          <cell r="AJ96" t="str">
            <v xml:space="preserve">EN EJECUCION. </v>
          </cell>
        </row>
        <row r="97">
          <cell r="B97">
            <v>111003</v>
          </cell>
          <cell r="C97">
            <v>11005</v>
          </cell>
          <cell r="D97" t="str">
            <v>FORCINITI</v>
          </cell>
          <cell r="E97" t="str">
            <v>PROVISIÓN E INSTALACIÓN DE BUNKER ANTIFAL DE SEGURIDAD</v>
          </cell>
          <cell r="F97" t="str">
            <v>SUCURSAL BARRIO EL GAUCHO</v>
          </cell>
          <cell r="G97">
            <v>30</v>
          </cell>
          <cell r="H97" t="str">
            <v>LA GUARDIANA S.A.I.C.I.</v>
          </cell>
          <cell r="I97">
            <v>187040</v>
          </cell>
          <cell r="K97" t="str">
            <v>EJECUCION</v>
          </cell>
          <cell r="L97">
            <v>41502</v>
          </cell>
          <cell r="M97">
            <v>41506</v>
          </cell>
          <cell r="O97">
            <v>41512</v>
          </cell>
          <cell r="P97">
            <v>41509</v>
          </cell>
          <cell r="R97">
            <v>41523</v>
          </cell>
          <cell r="T97">
            <v>41509</v>
          </cell>
          <cell r="U97">
            <v>41539</v>
          </cell>
          <cell r="X97">
            <v>41539</v>
          </cell>
          <cell r="AJ97" t="str">
            <v>EN EJECUCIÓN</v>
          </cell>
        </row>
        <row r="98">
          <cell r="B98">
            <v>111004</v>
          </cell>
          <cell r="C98">
            <v>11011</v>
          </cell>
          <cell r="D98" t="str">
            <v>RIZZARDI</v>
          </cell>
          <cell r="E98" t="str">
            <v>ADECUACIÓN DE CARTELES INSTITUCIONALES EN FRENTES DE FACHADAS, CARTELES SALIENTES DOBLE FAZ Y TÓTEM.</v>
          </cell>
          <cell r="F98" t="str">
            <v>ZONA MAR DEL PLATA</v>
          </cell>
          <cell r="G98">
            <v>30</v>
          </cell>
          <cell r="H98" t="str">
            <v>MARKA COMUNICACIONES GRÁFICAS SA</v>
          </cell>
          <cell r="I98">
            <v>150880</v>
          </cell>
          <cell r="K98" t="str">
            <v>EJECUCION</v>
          </cell>
          <cell r="L98">
            <v>41507</v>
          </cell>
          <cell r="M98">
            <v>41506</v>
          </cell>
          <cell r="O98">
            <v>41516</v>
          </cell>
          <cell r="P98">
            <v>41519</v>
          </cell>
          <cell r="R98">
            <v>41533</v>
          </cell>
          <cell r="T98">
            <v>41529</v>
          </cell>
          <cell r="U98">
            <v>41559</v>
          </cell>
          <cell r="X98">
            <v>41559</v>
          </cell>
          <cell r="AJ98" t="str">
            <v>EN EJECUCION</v>
          </cell>
        </row>
        <row r="99">
          <cell r="B99">
            <v>111693</v>
          </cell>
          <cell r="C99">
            <v>11012</v>
          </cell>
          <cell r="D99" t="str">
            <v>RIZZARDI</v>
          </cell>
          <cell r="E99" t="str">
            <v>ADQUISICIÓN DE FRENTES DE ATM.</v>
          </cell>
          <cell r="F99" t="str">
            <v>STOCK 2013</v>
          </cell>
          <cell r="G99">
            <v>60</v>
          </cell>
          <cell r="H99" t="str">
            <v>DIEGO PEÑALVA</v>
          </cell>
          <cell r="I99">
            <v>640435.19999999995</v>
          </cell>
          <cell r="K99" t="str">
            <v>REC. PROV.</v>
          </cell>
          <cell r="L99">
            <v>41544</v>
          </cell>
          <cell r="M99">
            <v>41547</v>
          </cell>
          <cell r="O99">
            <v>41557</v>
          </cell>
          <cell r="P99">
            <v>41549</v>
          </cell>
          <cell r="R99">
            <v>41564</v>
          </cell>
          <cell r="T99">
            <v>41556</v>
          </cell>
          <cell r="U99">
            <v>41616</v>
          </cell>
          <cell r="X99">
            <v>41616</v>
          </cell>
          <cell r="Z99">
            <v>41604</v>
          </cell>
          <cell r="AJ99" t="str">
            <v>Obra con provisoria y en garantía</v>
          </cell>
        </row>
        <row r="100">
          <cell r="B100">
            <v>111692</v>
          </cell>
          <cell r="C100">
            <v>11014</v>
          </cell>
          <cell r="D100" t="str">
            <v>FERNANDEZ</v>
          </cell>
          <cell r="E100" t="str">
            <v>TRABAJOS DE REMODELACIÓN</v>
          </cell>
          <cell r="F100" t="str">
            <v>CASA CENTRAL PRESIDENTE ARTURO JAURETCHE - 6° PISO,  SECTOR N° 1 "SAN MARTÍN" - OFICINA DE AUDITORÍA.</v>
          </cell>
          <cell r="G100">
            <v>60</v>
          </cell>
          <cell r="H100" t="str">
            <v>F4 CONSTRUCCIONES S.R.L.</v>
          </cell>
          <cell r="I100">
            <v>308725.37</v>
          </cell>
          <cell r="K100" t="str">
            <v>EJECUCION</v>
          </cell>
          <cell r="L100">
            <v>41527</v>
          </cell>
          <cell r="M100">
            <v>41547</v>
          </cell>
          <cell r="N100">
            <v>92617.61</v>
          </cell>
          <cell r="O100">
            <v>41547</v>
          </cell>
          <cell r="P100">
            <v>41547</v>
          </cell>
          <cell r="Q100">
            <v>41698</v>
          </cell>
          <cell r="R100">
            <v>41562</v>
          </cell>
          <cell r="T100">
            <v>41551</v>
          </cell>
          <cell r="U100">
            <v>41611</v>
          </cell>
          <cell r="X100">
            <v>41611</v>
          </cell>
          <cell r="AJ100" t="str">
            <v>EN EJECUCION</v>
          </cell>
        </row>
        <row r="101">
          <cell r="B101">
            <v>111025</v>
          </cell>
          <cell r="C101">
            <v>11015</v>
          </cell>
          <cell r="D101" t="str">
            <v>RIZZARDI</v>
          </cell>
          <cell r="E101" t="str">
            <v>TRABAJOS DE ADECUACION DEL SISTEMA DE CCTV POR REMODELACIÓN</v>
          </cell>
          <cell r="F101" t="str">
            <v>SUCURSAL LINCOLN</v>
          </cell>
          <cell r="G101">
            <v>20</v>
          </cell>
          <cell r="H101" t="str">
            <v>XIDEN SACI</v>
          </cell>
          <cell r="I101">
            <v>172050</v>
          </cell>
          <cell r="K101" t="str">
            <v>REC. PROV.</v>
          </cell>
          <cell r="L101">
            <v>41509</v>
          </cell>
          <cell r="M101">
            <v>41509</v>
          </cell>
          <cell r="O101">
            <v>41521</v>
          </cell>
          <cell r="P101">
            <v>41519</v>
          </cell>
          <cell r="R101">
            <v>41533</v>
          </cell>
          <cell r="T101">
            <v>41547</v>
          </cell>
          <cell r="U101">
            <v>41567</v>
          </cell>
          <cell r="AJ101" t="str">
            <v xml:space="preserve">Obra con provisoria y en garantia. </v>
          </cell>
        </row>
        <row r="102">
          <cell r="B102">
            <v>112106</v>
          </cell>
          <cell r="C102">
            <v>11017</v>
          </cell>
          <cell r="D102" t="str">
            <v>FERNANDEZ</v>
          </cell>
          <cell r="E102" t="str">
            <v xml:space="preserve">TRABAJOS VARIOS   </v>
          </cell>
          <cell r="F102" t="str">
            <v>TESORERIA GENERAL, CASA CENTRAL PRESIDENTE ARTURO JAURETCHE, SAN MARTIN 137, 2º SS, SECTOR "A"</v>
          </cell>
          <cell r="G102">
            <v>120</v>
          </cell>
          <cell r="H102" t="str">
            <v>N Y S SRL</v>
          </cell>
          <cell r="I102">
            <v>749000</v>
          </cell>
          <cell r="K102" t="str">
            <v>EJECUCION</v>
          </cell>
          <cell r="L102">
            <v>41575</v>
          </cell>
          <cell r="M102">
            <v>41575</v>
          </cell>
          <cell r="N102">
            <v>224700</v>
          </cell>
          <cell r="O102">
            <v>41584</v>
          </cell>
          <cell r="P102">
            <v>41582</v>
          </cell>
          <cell r="R102">
            <v>41596</v>
          </cell>
          <cell r="T102">
            <v>41592</v>
          </cell>
          <cell r="U102">
            <v>41712</v>
          </cell>
          <cell r="AJ102" t="str">
            <v>EN EJECUCION. Con fecha 12/12/13 se recibe adicional para elevar</v>
          </cell>
        </row>
        <row r="103">
          <cell r="B103">
            <v>111764</v>
          </cell>
          <cell r="C103">
            <v>11018</v>
          </cell>
          <cell r="D103" t="str">
            <v>TORRES</v>
          </cell>
          <cell r="E103" t="str">
            <v>INSTALACIÓN DE AºAº, CALEFACCIÓN Y EXTRACCIÓN DE AIRE.</v>
          </cell>
          <cell r="F103" t="str">
            <v>CABECERA PASE DE FONDOS, CASA CENTRAL PRESIDENTE ARTURO JAURETCHE</v>
          </cell>
          <cell r="G103">
            <v>120</v>
          </cell>
          <cell r="H103" t="str">
            <v>BONIFACIO S.A.</v>
          </cell>
          <cell r="I103">
            <v>776870.6</v>
          </cell>
          <cell r="K103" t="str">
            <v>EJECUCION</v>
          </cell>
          <cell r="L103">
            <v>41548</v>
          </cell>
          <cell r="M103">
            <v>41554</v>
          </cell>
          <cell r="P103">
            <v>41556</v>
          </cell>
          <cell r="R103">
            <v>41571</v>
          </cell>
          <cell r="T103">
            <v>41582</v>
          </cell>
          <cell r="U103">
            <v>41702</v>
          </cell>
          <cell r="AJ103" t="str">
            <v>EN EJECUCION</v>
          </cell>
        </row>
        <row r="104">
          <cell r="B104">
            <v>111214</v>
          </cell>
          <cell r="C104">
            <v>11019</v>
          </cell>
          <cell r="D104" t="str">
            <v>TORRES</v>
          </cell>
          <cell r="E104" t="str">
            <v>CONSTRUCCIÓN DE UNA BANCA ELECTRÓNICA PARA DOS ATM - 2º LLAMADO</v>
          </cell>
          <cell r="F104" t="str">
            <v>MAR DE LAS PAMPAS</v>
          </cell>
          <cell r="G104">
            <v>90</v>
          </cell>
          <cell r="H104" t="str">
            <v>MP EMPRENDIMIENTOS Y CONSTRUCCIONES DE LA COSTA S.R.L.</v>
          </cell>
          <cell r="I104">
            <v>483549.47</v>
          </cell>
          <cell r="K104" t="str">
            <v>EJECUCION</v>
          </cell>
          <cell r="L104">
            <v>41519</v>
          </cell>
          <cell r="M104">
            <v>41519</v>
          </cell>
          <cell r="O104">
            <v>41534</v>
          </cell>
          <cell r="P104">
            <v>41528</v>
          </cell>
          <cell r="R104">
            <v>41542</v>
          </cell>
          <cell r="T104">
            <v>41533</v>
          </cell>
          <cell r="U104">
            <v>41623</v>
          </cell>
          <cell r="AJ104" t="str">
            <v>EN EJECUCION</v>
          </cell>
        </row>
        <row r="105">
          <cell r="B105">
            <v>111033</v>
          </cell>
          <cell r="C105">
            <v>11022</v>
          </cell>
          <cell r="D105" t="str">
            <v>RIZZARDI</v>
          </cell>
          <cell r="E105" t="str">
            <v>ADQUISICIÓN DE MOBILIARIO MADERA COLOR PERAL - CARPETEROS BAJOS Y CARPETEROS ALTOS</v>
          </cell>
          <cell r="F105" t="str">
            <v>SUCURSALES VARIAS</v>
          </cell>
          <cell r="G105">
            <v>15</v>
          </cell>
          <cell r="H105" t="str">
            <v>SIGNO EN FORMA S.R.L.</v>
          </cell>
          <cell r="I105">
            <v>135680</v>
          </cell>
          <cell r="K105" t="str">
            <v>REC. PROV.</v>
          </cell>
          <cell r="L105">
            <v>41512</v>
          </cell>
          <cell r="M105">
            <v>41512</v>
          </cell>
          <cell r="O105">
            <v>41522</v>
          </cell>
          <cell r="P105">
            <v>41521</v>
          </cell>
          <cell r="R105">
            <v>41535</v>
          </cell>
          <cell r="T105">
            <v>41526</v>
          </cell>
          <cell r="U105">
            <v>41541</v>
          </cell>
          <cell r="X105">
            <v>41541</v>
          </cell>
          <cell r="Z105">
            <v>41534</v>
          </cell>
          <cell r="AA105">
            <v>41715</v>
          </cell>
          <cell r="AJ105" t="str">
            <v xml:space="preserve">Obra con provisoria y en garantia. </v>
          </cell>
        </row>
        <row r="106">
          <cell r="B106">
            <v>111974</v>
          </cell>
          <cell r="C106">
            <v>11023</v>
          </cell>
          <cell r="D106" t="str">
            <v>FERNANDEZ</v>
          </cell>
          <cell r="E106" t="str">
            <v xml:space="preserve">TRABAJOS DE IMPLEMENTACIÓN DEL SISTEMA DE CCTV </v>
          </cell>
          <cell r="F106" t="str">
            <v>NUEVA UDN VILLA LUZURIAGA</v>
          </cell>
          <cell r="G106">
            <v>30</v>
          </cell>
          <cell r="H106" t="str">
            <v>XIDEN SACI</v>
          </cell>
          <cell r="I106">
            <v>166511.6</v>
          </cell>
          <cell r="L106">
            <v>41564</v>
          </cell>
          <cell r="M106">
            <v>41564</v>
          </cell>
          <cell r="AJ106" t="str">
            <v>en proceso de analisis de la documentacion</v>
          </cell>
        </row>
        <row r="107">
          <cell r="B107">
            <v>111972</v>
          </cell>
          <cell r="C107">
            <v>11024</v>
          </cell>
          <cell r="D107" t="str">
            <v>RIZZARDI</v>
          </cell>
          <cell r="E107" t="str">
            <v>PROVISIÓN, INSTALACIÓN E INTERCONEXIONADO DE LOS SISTEMAS DE ALARMA POLICIAL Y ELECTRÓNICA</v>
          </cell>
          <cell r="F107" t="str">
            <v>NUEVA UDN VILLA LUZURIAGA</v>
          </cell>
          <cell r="G107">
            <v>30</v>
          </cell>
          <cell r="H107" t="str">
            <v>TYSSE S.A.</v>
          </cell>
          <cell r="I107">
            <v>187123.65</v>
          </cell>
          <cell r="L107">
            <v>41564</v>
          </cell>
          <cell r="M107">
            <v>41564</v>
          </cell>
          <cell r="AJ107" t="str">
            <v>en proceso de analisis de la documentacion. El inicio de la obra se estará dando recién en la semana del 02/12 al 06/12/13</v>
          </cell>
        </row>
        <row r="108">
          <cell r="B108">
            <v>111407</v>
          </cell>
          <cell r="C108">
            <v>11026</v>
          </cell>
          <cell r="D108" t="str">
            <v>FORCINITI</v>
          </cell>
          <cell r="E108" t="str">
            <v>PROVISIÓN E INSTALACIÓN DE SISTEMA DE ALARMA POLICIAL Y ELECTRÓNICA</v>
          </cell>
          <cell r="F108" t="str">
            <v>ATM - DELEGACIÓN MUNICIPAL LOMA VERDE</v>
          </cell>
          <cell r="G108">
            <v>10</v>
          </cell>
          <cell r="H108" t="str">
            <v>TYSSE S.A.</v>
          </cell>
          <cell r="I108">
            <v>117399.54</v>
          </cell>
          <cell r="K108" t="str">
            <v>REC. PROV.</v>
          </cell>
          <cell r="L108">
            <v>41528</v>
          </cell>
          <cell r="M108">
            <v>41530</v>
          </cell>
          <cell r="P108">
            <v>41536</v>
          </cell>
          <cell r="R108">
            <v>41550</v>
          </cell>
          <cell r="T108">
            <v>41548</v>
          </cell>
          <cell r="U108">
            <v>41558</v>
          </cell>
          <cell r="X108">
            <v>41558</v>
          </cell>
          <cell r="Z108">
            <v>41564</v>
          </cell>
          <cell r="AA108">
            <v>41744</v>
          </cell>
          <cell r="AJ108" t="str">
            <v>Obra con provisoria y en garantia. Con fecha 7/11/13 se recibe informe de lni</v>
          </cell>
        </row>
        <row r="109">
          <cell r="B109">
            <v>112203</v>
          </cell>
          <cell r="C109">
            <v>11028</v>
          </cell>
          <cell r="D109" t="str">
            <v>FORCINITI</v>
          </cell>
          <cell r="E109" t="str">
            <v>DESCONEXIÓN, PROVISIÓN, INSTALACIÓN E INTERCONEXIONADO DE LOS SISTEMAS DE ALARMA POLICIAL Y ELECTRÓNICA POR REMODELACIÓN</v>
          </cell>
          <cell r="F109" t="str">
            <v>SUCURSAL CHACABUCO</v>
          </cell>
          <cell r="G109">
            <v>30</v>
          </cell>
          <cell r="H109" t="str">
            <v>DELTA COMUNICACIONES S.R.L.</v>
          </cell>
          <cell r="I109">
            <v>232896</v>
          </cell>
          <cell r="L109">
            <v>41579</v>
          </cell>
          <cell r="M109">
            <v>41579</v>
          </cell>
          <cell r="P109">
            <v>41590</v>
          </cell>
          <cell r="Q109">
            <v>41650</v>
          </cell>
          <cell r="R109">
            <v>41604</v>
          </cell>
          <cell r="T109">
            <v>41590</v>
          </cell>
          <cell r="AJ109" t="str">
            <v>en proceso de analisis de la documentacion</v>
          </cell>
        </row>
        <row r="110">
          <cell r="B110">
            <v>112112</v>
          </cell>
          <cell r="C110">
            <v>11029</v>
          </cell>
          <cell r="D110" t="str">
            <v>FORCINITI</v>
          </cell>
          <cell r="E110" t="str">
            <v>ADECUACIÓN DEL SISTEMA DE CCTV POR REMODELACIÓN</v>
          </cell>
          <cell r="F110" t="str">
            <v>SUCURSAL CHACABUCO</v>
          </cell>
          <cell r="G110">
            <v>30</v>
          </cell>
          <cell r="H110" t="str">
            <v>TECNOLOGÍA EN SEGURIDAD S.R.L.</v>
          </cell>
          <cell r="I110">
            <v>163402.65</v>
          </cell>
          <cell r="L110">
            <v>41576</v>
          </cell>
          <cell r="M110">
            <v>41575</v>
          </cell>
          <cell r="AJ110" t="str">
            <v>Con fecha 22/11/12 se envia autorizacion del personal. Obra paralizada desde el 21/11/13</v>
          </cell>
        </row>
        <row r="111">
          <cell r="B111">
            <v>112205</v>
          </cell>
          <cell r="C111">
            <v>11030</v>
          </cell>
          <cell r="D111" t="str">
            <v>RIZZARDI</v>
          </cell>
          <cell r="E111" t="str">
            <v>TRABAJOS VARIOS</v>
          </cell>
          <cell r="F111" t="str">
            <v>SUCURSAL VILLA TESEI</v>
          </cell>
          <cell r="G111">
            <v>30</v>
          </cell>
          <cell r="H111" t="str">
            <v>F4 CONSTRUCCIONES S.R.L.</v>
          </cell>
          <cell r="I111">
            <v>178604.75</v>
          </cell>
          <cell r="L111">
            <v>41579</v>
          </cell>
          <cell r="M111">
            <v>41579</v>
          </cell>
          <cell r="P111">
            <v>41598</v>
          </cell>
          <cell r="AJ111" t="str">
            <v>EN PROCESO DE ANALISIS DE LA DOCUMENTACIÓN</v>
          </cell>
        </row>
        <row r="112">
          <cell r="B112">
            <v>111576</v>
          </cell>
          <cell r="C112">
            <v>11032</v>
          </cell>
          <cell r="D112" t="str">
            <v>FERNANDEZ</v>
          </cell>
          <cell r="E112" t="str">
            <v>ADECUACIÓN DE CAJAS TESORO MÓVIL</v>
          </cell>
          <cell r="F112" t="str">
            <v>DELEGACIÓN BARRIO UNIVERSITARIO BAHÍA BLANCA, CAR QUILMES Y DEPÓSITO MARMOL</v>
          </cell>
          <cell r="G112">
            <v>20</v>
          </cell>
          <cell r="H112" t="str">
            <v>SEGURIDAD IRON BOX S.A.</v>
          </cell>
          <cell r="I112">
            <v>257040</v>
          </cell>
          <cell r="K112" t="str">
            <v>EJECUCION</v>
          </cell>
          <cell r="L112">
            <v>41537</v>
          </cell>
          <cell r="M112">
            <v>41542</v>
          </cell>
          <cell r="O112">
            <v>41547</v>
          </cell>
          <cell r="P112">
            <v>41547</v>
          </cell>
          <cell r="R112">
            <v>41562</v>
          </cell>
          <cell r="S112" t="str">
            <v>-</v>
          </cell>
          <cell r="T112">
            <v>41547</v>
          </cell>
          <cell r="U112">
            <v>41567</v>
          </cell>
          <cell r="X112">
            <v>41567</v>
          </cell>
          <cell r="AJ112" t="str">
            <v>EN EJECUCION</v>
          </cell>
        </row>
        <row r="113">
          <cell r="B113">
            <v>112223</v>
          </cell>
          <cell r="C113">
            <v>11033</v>
          </cell>
          <cell r="D113" t="str">
            <v>FERNANDEZ</v>
          </cell>
          <cell r="E113" t="str">
            <v>TRABAJOS DE ADECUACIÓN DEL SISTEMA DE CCTV POR REMODELACIÓN.</v>
          </cell>
          <cell r="F113" t="str">
            <v>SUCURSAL VILLA MAIPÚ</v>
          </cell>
          <cell r="G113">
            <v>30</v>
          </cell>
          <cell r="H113" t="str">
            <v>Elca Seguridad Electronica S.R.L.</v>
          </cell>
          <cell r="I113">
            <v>132405</v>
          </cell>
          <cell r="L113">
            <v>41583</v>
          </cell>
          <cell r="M113">
            <v>41583</v>
          </cell>
          <cell r="O113">
            <v>41599</v>
          </cell>
          <cell r="P113">
            <v>41598</v>
          </cell>
          <cell r="R113">
            <v>41613</v>
          </cell>
          <cell r="AJ113" t="str">
            <v>EN PROCESO DE SOLICITUD DE DOCUMENTACION</v>
          </cell>
        </row>
        <row r="114">
          <cell r="B114">
            <v>112202</v>
          </cell>
          <cell r="C114">
            <v>117009</v>
          </cell>
          <cell r="D114" t="str">
            <v>TORRES</v>
          </cell>
          <cell r="E114" t="str">
            <v>PROVISIÓN, INSTALACIÓN E INTERCONEXIONADO DE LOS SISTEMAS DE ALARMA ELECTRÓNICA</v>
          </cell>
          <cell r="F114" t="str">
            <v>SUCURSAL LINIERS</v>
          </cell>
          <cell r="G114">
            <v>20</v>
          </cell>
          <cell r="H114" t="str">
            <v>ELENAVI S.R.L.</v>
          </cell>
          <cell r="I114">
            <v>116491</v>
          </cell>
          <cell r="L114">
            <v>41579</v>
          </cell>
          <cell r="M114">
            <v>41579</v>
          </cell>
          <cell r="P114">
            <v>41599</v>
          </cell>
          <cell r="AJ114" t="str">
            <v>EN PROCESO DE SOLICITUD DE DOCUMENTACION</v>
          </cell>
        </row>
        <row r="115">
          <cell r="B115">
            <v>112107</v>
          </cell>
          <cell r="C115">
            <v>11037</v>
          </cell>
          <cell r="D115" t="str">
            <v>TORRES</v>
          </cell>
          <cell r="E115" t="str">
            <v>PROVISIÓN E INSTALACIÓN DE EQUIPOS DE ALARMA POLICIAL, ELEMENTOS DE ALARMA ELECTRÓNICA, CON VINCULO Y MONITOREO EN CASA CENTRAL Y ENLACE EN LA CORRESPONDIENTE DEPENDENCIA POLICIAL</v>
          </cell>
          <cell r="F115" t="str">
            <v>LOCALIZACIONES DEL BANCO DE LA PROVINCIA DE BUENOS AIRES</v>
          </cell>
          <cell r="G115">
            <v>45</v>
          </cell>
          <cell r="H115" t="str">
            <v>TYSSE S.A.</v>
          </cell>
          <cell r="I115">
            <v>96300</v>
          </cell>
          <cell r="K115" t="str">
            <v>REC. PROV.</v>
          </cell>
          <cell r="L115">
            <v>41570</v>
          </cell>
          <cell r="M115">
            <v>41575</v>
          </cell>
          <cell r="O115">
            <v>41579</v>
          </cell>
          <cell r="P115">
            <v>41582</v>
          </cell>
          <cell r="R115">
            <v>41596</v>
          </cell>
          <cell r="T115">
            <v>41582</v>
          </cell>
          <cell r="U115">
            <v>41627</v>
          </cell>
          <cell r="X115">
            <v>41627</v>
          </cell>
          <cell r="Z115">
            <v>41604</v>
          </cell>
          <cell r="AA115">
            <v>41784</v>
          </cell>
          <cell r="AJ115" t="str">
            <v>EN EJECUCION.</v>
          </cell>
        </row>
        <row r="116">
          <cell r="B116">
            <v>112108</v>
          </cell>
          <cell r="C116">
            <v>11037</v>
          </cell>
          <cell r="D116" t="str">
            <v>TORRES</v>
          </cell>
          <cell r="E116" t="str">
            <v>PROVISIÓN E INSTALACIÓN DE EQUIPOS DE ALARMA POLICIAL, ELEMENTOS DE ALARMA ELECTRÓNICA, CON VINCULO Y MONITOREO EN CASA CENTRAL Y ENLACE EN LA CORRESPONDIENTE DEPENDENCIA POLICIAL</v>
          </cell>
          <cell r="F116" t="str">
            <v>LOCALIZACIONES DEL BANCO DE LA PROVINCIA DE BUENOS AIRES</v>
          </cell>
          <cell r="G116">
            <v>45</v>
          </cell>
          <cell r="H116" t="str">
            <v>DELTA COMUNICACIONES S.R.L.</v>
          </cell>
          <cell r="I116">
            <v>639400</v>
          </cell>
          <cell r="K116" t="str">
            <v>EJECUCION</v>
          </cell>
          <cell r="L116">
            <v>41570</v>
          </cell>
          <cell r="M116">
            <v>41575</v>
          </cell>
          <cell r="O116">
            <v>41578</v>
          </cell>
          <cell r="P116">
            <v>41575</v>
          </cell>
          <cell r="R116">
            <v>41589</v>
          </cell>
          <cell r="T116">
            <v>41575</v>
          </cell>
          <cell r="U116">
            <v>41620</v>
          </cell>
          <cell r="AD116">
            <v>22444</v>
          </cell>
          <cell r="AJ116" t="str">
            <v>EN EJECUCION</v>
          </cell>
        </row>
        <row r="117">
          <cell r="B117">
            <v>112310</v>
          </cell>
          <cell r="C117">
            <v>11043</v>
          </cell>
          <cell r="D117" t="str">
            <v>ZUNINO</v>
          </cell>
          <cell r="E117" t="str">
            <v xml:space="preserve">NUEVOS PUESTOS DE CABLEADO ESTRUCTURADO </v>
          </cell>
          <cell r="F117" t="str">
            <v>CHACABUCO</v>
          </cell>
          <cell r="G117">
            <v>45</v>
          </cell>
          <cell r="H117" t="str">
            <v>IP ELECTRO SRL.</v>
          </cell>
          <cell r="I117">
            <v>115520</v>
          </cell>
          <cell r="J117" t="str">
            <v>N</v>
          </cell>
          <cell r="K117" t="str">
            <v>N</v>
          </cell>
          <cell r="L117">
            <v>41590</v>
          </cell>
          <cell r="M117">
            <v>41591</v>
          </cell>
          <cell r="N117" t="str">
            <v>N</v>
          </cell>
          <cell r="O117" t="str">
            <v>N</v>
          </cell>
          <cell r="P117">
            <v>41597</v>
          </cell>
          <cell r="Q117" t="str">
            <v>N</v>
          </cell>
          <cell r="R117" t="str">
            <v>N</v>
          </cell>
          <cell r="S117" t="str">
            <v>N</v>
          </cell>
          <cell r="T117">
            <v>41597</v>
          </cell>
          <cell r="U117">
            <v>41642</v>
          </cell>
          <cell r="V117" t="str">
            <v>SI</v>
          </cell>
          <cell r="W117" t="str">
            <v>N</v>
          </cell>
          <cell r="X117">
            <v>41834</v>
          </cell>
          <cell r="Y117" t="str">
            <v>N</v>
          </cell>
          <cell r="Z117">
            <v>41834</v>
          </cell>
          <cell r="AA117">
            <v>42565</v>
          </cell>
          <cell r="AC117" t="str">
            <v>N</v>
          </cell>
          <cell r="AD117" t="str">
            <v>N</v>
          </cell>
          <cell r="AE117" t="str">
            <v>N</v>
          </cell>
          <cell r="AF117" t="str">
            <v>N</v>
          </cell>
          <cell r="AG117" t="str">
            <v>N</v>
          </cell>
          <cell r="AH117" t="str">
            <v>N</v>
          </cell>
          <cell r="AI117" t="str">
            <v>N</v>
          </cell>
          <cell r="AJ117" t="str">
            <v xml:space="preserve">EN GARANTIA. </v>
          </cell>
        </row>
        <row r="118">
          <cell r="B118">
            <v>112079</v>
          </cell>
          <cell r="C118">
            <v>11049</v>
          </cell>
          <cell r="D118" t="str">
            <v>ZUNINO</v>
          </cell>
          <cell r="E118" t="str">
            <v>AMPL. CCTV.</v>
          </cell>
          <cell r="F118" t="str">
            <v>ARCHIVO Y MUSEO HCO. DR. A. JAURETCHE</v>
          </cell>
          <cell r="G118">
            <v>60</v>
          </cell>
          <cell r="H118" t="str">
            <v>xiden  saci</v>
          </cell>
          <cell r="I118">
            <v>106380</v>
          </cell>
          <cell r="L118">
            <v>41571</v>
          </cell>
          <cell r="AJ118" t="str">
            <v xml:space="preserve">se remite cd. De adjud. </v>
          </cell>
        </row>
        <row r="119">
          <cell r="B119">
            <v>112194</v>
          </cell>
          <cell r="C119">
            <v>11051</v>
          </cell>
          <cell r="D119" t="str">
            <v>FORCINITI</v>
          </cell>
          <cell r="E119" t="str">
            <v>PROVISIÓN, INSTALACIÓN E INTERCONEXIONADO DE LOS SISTEMAS DE ALARMA POR REMODELACIÓN</v>
          </cell>
          <cell r="F119" t="str">
            <v>SUCURSAL NÚÑEZ</v>
          </cell>
          <cell r="G119">
            <v>20</v>
          </cell>
          <cell r="H119" t="str">
            <v>ELENAVI S.R.L.</v>
          </cell>
          <cell r="I119">
            <v>210175</v>
          </cell>
          <cell r="L119">
            <v>41579</v>
          </cell>
          <cell r="M119">
            <v>41579</v>
          </cell>
          <cell r="P119">
            <v>41599</v>
          </cell>
          <cell r="AJ119" t="str">
            <v>Con fecha 27/11/13 se envia autorizacion de ingreso de personal</v>
          </cell>
        </row>
        <row r="120">
          <cell r="B120">
            <v>112231</v>
          </cell>
          <cell r="C120">
            <v>11053</v>
          </cell>
          <cell r="D120" t="str">
            <v>ZUNINO</v>
          </cell>
          <cell r="E120" t="str">
            <v>PROVISIÓN, INSTALACIÓN Y PUESTA EN SERVICIO DE NUEVOS PUESTOS DE CABLEADO ESTRUCTURADO</v>
          </cell>
          <cell r="F120" t="str">
            <v>CONTROL DE GESTIÓN, POLÍTICA COMERCIAL, ATENCIÓN VIP Y OFICINA DE LAN - 5° PISO DE CASA CENTRAL PRESIDENTE ARTURO JAURETCHE.</v>
          </cell>
          <cell r="G120">
            <v>45</v>
          </cell>
          <cell r="H120" t="str">
            <v>IP ELECTRO</v>
          </cell>
          <cell r="I120">
            <v>123340</v>
          </cell>
          <cell r="L120">
            <v>41583</v>
          </cell>
          <cell r="M120">
            <v>41583</v>
          </cell>
          <cell r="T120">
            <v>41593</v>
          </cell>
          <cell r="AJ120" t="str">
            <v>obra paralizada dde. el 15/11/13</v>
          </cell>
        </row>
        <row r="121">
          <cell r="B121">
            <v>112876</v>
          </cell>
          <cell r="C121">
            <v>11054</v>
          </cell>
          <cell r="D121" t="str">
            <v>ZUNINO</v>
          </cell>
          <cell r="E121" t="str">
            <v>TRABAJOS VS. EN AZOTEA</v>
          </cell>
          <cell r="F121" t="str">
            <v>ANEXO ESQUINA CASA CENTRAL.</v>
          </cell>
          <cell r="G121">
            <v>40</v>
          </cell>
          <cell r="H121" t="str">
            <v>HISPANA SRL</v>
          </cell>
          <cell r="I121">
            <v>57910</v>
          </cell>
          <cell r="L121">
            <v>41620</v>
          </cell>
          <cell r="M121">
            <v>41621</v>
          </cell>
          <cell r="P121">
            <v>41638</v>
          </cell>
          <cell r="AJ121" t="str">
            <v>SE REMITE CD. EL 12/12/13</v>
          </cell>
        </row>
        <row r="122">
          <cell r="B122">
            <v>112300</v>
          </cell>
          <cell r="C122">
            <v>11055</v>
          </cell>
          <cell r="D122" t="str">
            <v>ZUNINO</v>
          </cell>
          <cell r="E122" t="str">
            <v>CABLEADO - RED 522</v>
          </cell>
          <cell r="F122" t="str">
            <v>suc. Nuñez</v>
          </cell>
          <cell r="G122">
            <v>45</v>
          </cell>
          <cell r="H122" t="str">
            <v>IP ELECTRO</v>
          </cell>
          <cell r="I122">
            <v>106250</v>
          </cell>
          <cell r="L122">
            <v>41590</v>
          </cell>
          <cell r="M122">
            <v>41591</v>
          </cell>
          <cell r="T122">
            <v>41597</v>
          </cell>
          <cell r="AJ122" t="str">
            <v>obra paralizada dde. el 19/11/13</v>
          </cell>
        </row>
        <row r="123">
          <cell r="B123">
            <v>112301</v>
          </cell>
          <cell r="C123">
            <v>11057</v>
          </cell>
          <cell r="D123" t="str">
            <v>ZUNINO</v>
          </cell>
          <cell r="E123" t="str">
            <v>CABLEADO - RED 565</v>
          </cell>
          <cell r="F123" t="str">
            <v>SUC. PALERMO</v>
          </cell>
          <cell r="G123">
            <v>45</v>
          </cell>
          <cell r="H123" t="str">
            <v>IP ELECTRO</v>
          </cell>
          <cell r="I123">
            <v>103500</v>
          </cell>
          <cell r="L123">
            <v>41590</v>
          </cell>
          <cell r="M123">
            <v>41591</v>
          </cell>
          <cell r="T123">
            <v>41597</v>
          </cell>
          <cell r="AJ123" t="str">
            <v>obra paralizada dde. el 19/11/13</v>
          </cell>
        </row>
        <row r="124">
          <cell r="C124">
            <v>11081</v>
          </cell>
          <cell r="D124" t="str">
            <v>ZUNINO</v>
          </cell>
          <cell r="E124" t="str">
            <v>CABLEADO  ESTRUCTURADO - RED 576. BCAS. ELECTRONICAS</v>
          </cell>
          <cell r="F124" t="str">
            <v xml:space="preserve">C.Z. TANDIL Y MDP. </v>
          </cell>
          <cell r="G124">
            <v>30</v>
          </cell>
          <cell r="I124">
            <v>80100</v>
          </cell>
          <cell r="AJ124" t="str">
            <v xml:space="preserve">en proceso  </v>
          </cell>
        </row>
        <row r="125">
          <cell r="B125">
            <v>112734</v>
          </cell>
          <cell r="C125">
            <v>11079</v>
          </cell>
          <cell r="D125" t="str">
            <v>RIZZARDI</v>
          </cell>
          <cell r="E125" t="str">
            <v>PROVISION E INSTALACION DE MOBILIARIO MADERA COLOR PERAL</v>
          </cell>
          <cell r="F125" t="str">
            <v>SUCURSAL MERCEDES</v>
          </cell>
          <cell r="G125">
            <v>60</v>
          </cell>
          <cell r="H125" t="str">
            <v>EQUIPAMIENTO DE EMPRESAS S.A.</v>
          </cell>
          <cell r="I125">
            <v>247066</v>
          </cell>
          <cell r="K125" t="str">
            <v>EN PROCESO</v>
          </cell>
          <cell r="L125">
            <v>41617</v>
          </cell>
          <cell r="M125">
            <v>41619</v>
          </cell>
          <cell r="P125">
            <v>41621</v>
          </cell>
          <cell r="AJ125" t="str">
            <v>Con fecha 23/12/13 se solicita presente la documentacion</v>
          </cell>
        </row>
        <row r="126">
          <cell r="B126">
            <v>112735</v>
          </cell>
          <cell r="C126">
            <v>11060</v>
          </cell>
          <cell r="D126" t="str">
            <v>FORCINITI</v>
          </cell>
          <cell r="E126" t="str">
            <v>ADQUISICIÓN DE MOBILIARIO DE MADERA COLOR PERAL PARA VARIACIONES EN LAYOUT</v>
          </cell>
          <cell r="F126" t="str">
            <v>SUCURSALES DEL PLAN DE OBRAS</v>
          </cell>
          <cell r="G126">
            <v>40</v>
          </cell>
          <cell r="H126" t="str">
            <v>CENTRO EQUIPAMIENTOS SRL</v>
          </cell>
          <cell r="I126">
            <v>308789.59999999998</v>
          </cell>
          <cell r="K126" t="str">
            <v>EN PROCESO</v>
          </cell>
          <cell r="L126">
            <v>41617</v>
          </cell>
          <cell r="M126">
            <v>41619</v>
          </cell>
          <cell r="P126">
            <v>41628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UBLICA"/>
      <sheetName val="SEGUIMIENTO DE OBRA"/>
    </sheetNames>
    <sheetDataSet>
      <sheetData sheetId="0" refreshError="1"/>
      <sheetData sheetId="1">
        <row r="3">
          <cell r="C3">
            <v>43827</v>
          </cell>
          <cell r="D3">
            <v>89137</v>
          </cell>
          <cell r="E3" t="str">
            <v>Licitación Pública</v>
          </cell>
          <cell r="F3">
            <v>4310</v>
          </cell>
          <cell r="G3" t="str">
            <v>RIZZARDI</v>
          </cell>
          <cell r="H3" t="str">
            <v>SUC. VARIAS</v>
          </cell>
          <cell r="I3" t="str">
            <v>MODIFICACION DE LA INSTALACION DE AºAº, SERVICIO MANTENIMIENTO DURANTE PERIODO DE GTIA, Y SERVICIO MANTENIMIENTO INTEGRAL POST GTIA.</v>
          </cell>
          <cell r="J3">
            <v>479339.5</v>
          </cell>
          <cell r="K3">
            <v>493719.69</v>
          </cell>
          <cell r="L3">
            <v>3.0000010431020172E-2</v>
          </cell>
          <cell r="M3">
            <v>40084</v>
          </cell>
          <cell r="O3">
            <v>200</v>
          </cell>
          <cell r="P3" t="str">
            <v>CIPS SA</v>
          </cell>
          <cell r="Q3">
            <v>40175</v>
          </cell>
          <cell r="T3">
            <v>40205</v>
          </cell>
          <cell r="U3">
            <v>90</v>
          </cell>
          <cell r="Y3">
            <v>40295</v>
          </cell>
          <cell r="Z3">
            <v>40295</v>
          </cell>
          <cell r="AA3">
            <v>41026</v>
          </cell>
          <cell r="AE3">
            <v>15064.78</v>
          </cell>
          <cell r="AQ3" t="str">
            <v xml:space="preserve">OBRA FINALIZADA Y EN PERIODO DE GARANTIA. Con fecha 19/10/12 se reclama definitiva y se consulta por trabajos reclamados por C.D. Se reitera el 20/12/12 y 29.01.2013.- </v>
          </cell>
        </row>
        <row r="4">
          <cell r="D4">
            <v>89138</v>
          </cell>
          <cell r="J4">
            <v>1400690</v>
          </cell>
          <cell r="K4">
            <v>1308997.44</v>
          </cell>
          <cell r="L4">
            <v>-6.5462422091968897E-2</v>
          </cell>
          <cell r="P4" t="str">
            <v>BRV Instalaciones Termomecánicas SRL</v>
          </cell>
          <cell r="T4">
            <v>40199</v>
          </cell>
          <cell r="Y4">
            <v>40289</v>
          </cell>
          <cell r="Z4">
            <v>40428</v>
          </cell>
          <cell r="AA4">
            <v>41159</v>
          </cell>
          <cell r="AQ4" t="str">
            <v>Obra finalizada y en garantía. Con fecha 19/10/12 se reclama definitiva. Se reitera el 20/12/12</v>
          </cell>
        </row>
        <row r="5">
          <cell r="C5">
            <v>43860</v>
          </cell>
          <cell r="D5">
            <v>89808</v>
          </cell>
          <cell r="E5" t="str">
            <v>Licitación Pública</v>
          </cell>
          <cell r="F5">
            <v>4318</v>
          </cell>
          <cell r="G5" t="str">
            <v>FERNANDEZ</v>
          </cell>
          <cell r="H5" t="str">
            <v>SUCURSALES VILLA CRESPO, P. MISERERE, RAMOS MEJIA, MARCOS PAZ Y VILLA INSUPERABLE</v>
          </cell>
          <cell r="I5" t="str">
            <v>MODIFICACION DE LA INSTALACION DE AºAº</v>
          </cell>
          <cell r="J5">
            <v>1851139</v>
          </cell>
          <cell r="K5">
            <v>1385000</v>
          </cell>
          <cell r="L5">
            <v>-0.25181199250839614</v>
          </cell>
          <cell r="M5">
            <v>40112</v>
          </cell>
          <cell r="N5">
            <v>0.4375</v>
          </cell>
          <cell r="O5">
            <v>200</v>
          </cell>
          <cell r="P5" t="str">
            <v>SERVICIOS DE AIRE ACONDICIONADO S.A.</v>
          </cell>
          <cell r="Q5">
            <v>40205</v>
          </cell>
          <cell r="T5">
            <v>40242</v>
          </cell>
          <cell r="U5">
            <v>90</v>
          </cell>
          <cell r="Y5">
            <v>40412</v>
          </cell>
          <cell r="Z5">
            <v>40505</v>
          </cell>
          <cell r="AA5">
            <v>41236</v>
          </cell>
          <cell r="AC5">
            <v>26716.61</v>
          </cell>
          <cell r="AE5">
            <v>26241.59</v>
          </cell>
          <cell r="AQ5" t="str">
            <v>Se trata recurso interpuesto por la empresa. Con fecha 22/01/13 sale cd de intimacion a la firma</v>
          </cell>
        </row>
        <row r="6">
          <cell r="C6">
            <v>43868</v>
          </cell>
          <cell r="D6">
            <v>90512</v>
          </cell>
          <cell r="E6" t="str">
            <v>Licitación Pública</v>
          </cell>
          <cell r="F6">
            <v>4320</v>
          </cell>
          <cell r="G6" t="str">
            <v>FORCINITI</v>
          </cell>
          <cell r="H6" t="str">
            <v>SUCURSALES BALCARCE, MIRAMAR, MUNRO, BOULOGNE Y VILLA GESELL</v>
          </cell>
          <cell r="I6" t="str">
            <v>MODIFICACION DE LA INSTALACION DE AºAº</v>
          </cell>
          <cell r="J6">
            <v>1836388</v>
          </cell>
          <cell r="K6">
            <v>1652749.2</v>
          </cell>
          <cell r="L6">
            <v>-0.1</v>
          </cell>
          <cell r="M6">
            <v>40168</v>
          </cell>
          <cell r="N6">
            <v>0.45833333333333331</v>
          </cell>
          <cell r="O6">
            <v>200</v>
          </cell>
          <cell r="P6" t="str">
            <v>AIR CENTER S.R.L.</v>
          </cell>
          <cell r="Q6">
            <v>40276</v>
          </cell>
          <cell r="T6">
            <v>40287</v>
          </cell>
          <cell r="U6">
            <v>90</v>
          </cell>
          <cell r="Y6">
            <v>40377</v>
          </cell>
          <cell r="Z6">
            <v>40441</v>
          </cell>
          <cell r="AA6">
            <v>41172</v>
          </cell>
          <cell r="AQ6" t="str">
            <v>Con fecha 27/08/2012 se envias a tecnica por definitiva. Se reitera el 09/10/12</v>
          </cell>
        </row>
        <row r="7">
          <cell r="C7">
            <v>43950</v>
          </cell>
          <cell r="D7">
            <v>91634</v>
          </cell>
          <cell r="E7" t="str">
            <v>Licitación Pública</v>
          </cell>
          <cell r="F7">
            <v>4327</v>
          </cell>
          <cell r="G7" t="str">
            <v>PALAVECINO</v>
          </cell>
          <cell r="H7" t="str">
            <v>UDN VILLA LUZURIAGA</v>
          </cell>
          <cell r="I7" t="str">
            <v>CONSTRUCCION LOCAL</v>
          </cell>
          <cell r="J7">
            <v>817486</v>
          </cell>
          <cell r="K7">
            <v>767619.35</v>
          </cell>
          <cell r="L7">
            <v>-6.1000004893050172E-2</v>
          </cell>
          <cell r="M7">
            <v>40231</v>
          </cell>
          <cell r="N7">
            <v>0.45833333333333331</v>
          </cell>
          <cell r="O7">
            <v>164</v>
          </cell>
          <cell r="P7" t="str">
            <v>YAMISOL</v>
          </cell>
          <cell r="Q7">
            <v>40357</v>
          </cell>
          <cell r="T7">
            <v>40414</v>
          </cell>
          <cell r="U7">
            <v>180</v>
          </cell>
          <cell r="Y7">
            <v>40594</v>
          </cell>
          <cell r="AQ7" t="str">
            <v>Contrato Rescindido. Se trata presentación realizada por la empresa.</v>
          </cell>
        </row>
        <row r="8">
          <cell r="C8">
            <v>44010</v>
          </cell>
          <cell r="D8">
            <v>91791</v>
          </cell>
          <cell r="E8" t="str">
            <v>Licitación Pública</v>
          </cell>
          <cell r="F8">
            <v>4343</v>
          </cell>
          <cell r="G8" t="str">
            <v>FORCINITI</v>
          </cell>
          <cell r="H8" t="str">
            <v>SUCURSAL LANÚS.</v>
          </cell>
          <cell r="I8" t="str">
            <v xml:space="preserve">REMODELACIÓN. </v>
          </cell>
          <cell r="J8">
            <v>1175870</v>
          </cell>
          <cell r="K8">
            <v>1135000</v>
          </cell>
          <cell r="L8">
            <v>-3.4757243572843918E-2</v>
          </cell>
          <cell r="M8">
            <v>40302</v>
          </cell>
          <cell r="N8">
            <v>0.4375</v>
          </cell>
          <cell r="O8">
            <v>200</v>
          </cell>
          <cell r="P8" t="str">
            <v>CONSTRUCCIONES DYK S.A.</v>
          </cell>
          <cell r="Q8">
            <v>40358</v>
          </cell>
          <cell r="T8">
            <v>40366</v>
          </cell>
          <cell r="U8">
            <v>180</v>
          </cell>
          <cell r="Y8">
            <v>40683</v>
          </cell>
          <cell r="Z8">
            <v>40683</v>
          </cell>
          <cell r="AA8">
            <v>40863</v>
          </cell>
          <cell r="AC8">
            <v>189198.65</v>
          </cell>
          <cell r="AE8">
            <v>14288.38</v>
          </cell>
          <cell r="AQ8" t="str">
            <v>Con fecha 19/06/2012 se pide definitiva. Se reitera el 09/10/12</v>
          </cell>
        </row>
        <row r="9">
          <cell r="C9">
            <v>44132</v>
          </cell>
          <cell r="D9">
            <v>94729</v>
          </cell>
          <cell r="E9" t="str">
            <v>Licitación Pública</v>
          </cell>
          <cell r="F9">
            <v>4357</v>
          </cell>
          <cell r="G9" t="str">
            <v>FERNANDEZ</v>
          </cell>
          <cell r="H9" t="str">
            <v>SAN ISIDRO.</v>
          </cell>
          <cell r="I9" t="str">
            <v xml:space="preserve">REMODELACIÓN. </v>
          </cell>
          <cell r="J9">
            <v>1997448</v>
          </cell>
          <cell r="K9">
            <v>2237141.7599999998</v>
          </cell>
          <cell r="L9">
            <v>0.11999999999999986</v>
          </cell>
          <cell r="M9">
            <v>40456</v>
          </cell>
          <cell r="N9">
            <v>0.45833333333333331</v>
          </cell>
          <cell r="O9">
            <v>200</v>
          </cell>
          <cell r="P9" t="str">
            <v>COMEXIM ARGENTINA S.A.</v>
          </cell>
          <cell r="Q9">
            <v>40515</v>
          </cell>
          <cell r="T9">
            <v>40526</v>
          </cell>
          <cell r="U9">
            <v>150</v>
          </cell>
          <cell r="Y9">
            <v>40949</v>
          </cell>
          <cell r="Z9">
            <v>40949</v>
          </cell>
          <cell r="AA9">
            <v>41129</v>
          </cell>
          <cell r="AC9">
            <v>640404.13</v>
          </cell>
          <cell r="AE9">
            <v>100188.69</v>
          </cell>
          <cell r="AQ9" t="str">
            <v>Con fecha 27/07/12 se envia a tecnica por definitiva. Se reitera con fecha 03/09/12, 02/10/12, 04/12/12, 21/01/13 y 04/02/13</v>
          </cell>
        </row>
        <row r="10">
          <cell r="C10">
            <v>44134</v>
          </cell>
          <cell r="D10" t="str">
            <v>Malfatti 96457- Goldman 96456- Dimas 96455</v>
          </cell>
          <cell r="E10" t="str">
            <v>Licitación Pública</v>
          </cell>
          <cell r="F10">
            <v>4358</v>
          </cell>
          <cell r="G10" t="str">
            <v>FERNANDEZ</v>
          </cell>
          <cell r="H10" t="str">
            <v>ZONA NORTE</v>
          </cell>
          <cell r="I10" t="str">
            <v xml:space="preserve">PROYECTO Y DIRECCION DE OBRAS PARA ADECUACION EDILICIA </v>
          </cell>
          <cell r="J10">
            <v>2264000</v>
          </cell>
          <cell r="K10">
            <v>374369.74</v>
          </cell>
          <cell r="L10">
            <v>-0.83464234098939927</v>
          </cell>
          <cell r="M10">
            <v>40465</v>
          </cell>
          <cell r="N10">
            <v>0.45833333333333331</v>
          </cell>
          <cell r="O10">
            <v>200</v>
          </cell>
          <cell r="P10" t="str">
            <v>GOLDMAN - GONZALEZ - MALFATTI</v>
          </cell>
          <cell r="Q10">
            <v>40591</v>
          </cell>
          <cell r="T10">
            <v>40604</v>
          </cell>
          <cell r="U10" t="str">
            <v>ANTEP. 1°SUC-15DS.CS./2°SUC.-30DS.CS./3°SUC.-45DS.CS./4°SUC.-60DS.CS./ITEM1B, C, D, E-30DS.CS./ITEM1F-CON LA APERTURA/ITEM2-CON LA FIRMA DEL CONTRATO DE LA OBRA</v>
          </cell>
          <cell r="AQ10" t="str">
            <v>En etapa de dirección de obra. Con fecha 19/03/2013, se envia tomo 16 a Contaduria para intervención informe de rechazo de denuncia de ilegitimidad de Arquiexpresso.</v>
          </cell>
        </row>
        <row r="11">
          <cell r="D11">
            <v>96461</v>
          </cell>
          <cell r="H11" t="str">
            <v>ZONA  INTERIOR</v>
          </cell>
          <cell r="K11">
            <v>411400</v>
          </cell>
          <cell r="P11" t="str">
            <v>ARQUIEXPRESSO S.R.L.</v>
          </cell>
          <cell r="Q11">
            <v>40591</v>
          </cell>
          <cell r="T11">
            <v>40604</v>
          </cell>
          <cell r="AQ11" t="str">
            <v>Contrato rescindido (Tratamiento de denuncia de ilegitimidad)</v>
          </cell>
        </row>
        <row r="12">
          <cell r="D12">
            <v>96459</v>
          </cell>
          <cell r="H12" t="str">
            <v>ZONA OESTE</v>
          </cell>
          <cell r="K12">
            <v>573430</v>
          </cell>
          <cell r="P12" t="str">
            <v>ARQ. EDUARDO TEJADA</v>
          </cell>
          <cell r="Q12">
            <v>40591</v>
          </cell>
          <cell r="T12">
            <v>40604</v>
          </cell>
          <cell r="AC12">
            <v>30475.1</v>
          </cell>
          <cell r="AQ12" t="str">
            <v>En etapa de dirección de obra. Con fecha 11/03/13 se eleva adicional</v>
          </cell>
        </row>
        <row r="13">
          <cell r="D13">
            <v>96460</v>
          </cell>
          <cell r="H13" t="str">
            <v>ZONA SUR</v>
          </cell>
          <cell r="K13">
            <v>551614.80000000005</v>
          </cell>
          <cell r="P13" t="str">
            <v>ESTUDIO GONZALEZ PANAL S.A.</v>
          </cell>
          <cell r="Q13">
            <v>40591</v>
          </cell>
          <cell r="T13">
            <v>40604</v>
          </cell>
          <cell r="AQ13" t="str">
            <v>En etapa de direccion de obra</v>
          </cell>
        </row>
        <row r="14">
          <cell r="C14">
            <v>44179</v>
          </cell>
          <cell r="E14" t="str">
            <v>Licitación Pública</v>
          </cell>
          <cell r="F14">
            <v>4363</v>
          </cell>
          <cell r="G14" t="str">
            <v>MOURO</v>
          </cell>
          <cell r="H14" t="str">
            <v>JARDIN MATERNAL EDIFICIO BALCARCE 326</v>
          </cell>
          <cell r="I14" t="str">
            <v>CONTRUCCION NUEVO LOCAL</v>
          </cell>
          <cell r="J14">
            <v>4152794</v>
          </cell>
          <cell r="L14" t="str">
            <v/>
          </cell>
          <cell r="M14">
            <v>40660</v>
          </cell>
          <cell r="N14">
            <v>0.5</v>
          </cell>
          <cell r="O14">
            <v>200</v>
          </cell>
          <cell r="U14">
            <v>210</v>
          </cell>
          <cell r="AQ14" t="str">
            <v xml:space="preserve">Pte. Anulación llamado </v>
          </cell>
        </row>
        <row r="15">
          <cell r="C15">
            <v>44278</v>
          </cell>
          <cell r="D15">
            <v>98454</v>
          </cell>
          <cell r="E15" t="str">
            <v>Licitación Pública</v>
          </cell>
          <cell r="F15">
            <v>4384</v>
          </cell>
          <cell r="G15" t="str">
            <v>TORRES</v>
          </cell>
          <cell r="H15" t="str">
            <v>MAR DEL PLATA - CAR INDEPENDENCIA</v>
          </cell>
          <cell r="I15" t="str">
            <v xml:space="preserve">REMODELACION LOCAL </v>
          </cell>
          <cell r="J15">
            <v>1409136</v>
          </cell>
          <cell r="K15">
            <v>1390000</v>
          </cell>
          <cell r="L15">
            <v>-1.3579952538293014E-2</v>
          </cell>
          <cell r="M15">
            <v>40645</v>
          </cell>
          <cell r="N15">
            <v>0.45833333333333331</v>
          </cell>
          <cell r="O15">
            <v>200</v>
          </cell>
          <cell r="P15" t="str">
            <v>SBAICSE S.A.</v>
          </cell>
          <cell r="Q15">
            <v>40718</v>
          </cell>
          <cell r="T15">
            <v>40725</v>
          </cell>
          <cell r="U15">
            <v>90</v>
          </cell>
          <cell r="Y15">
            <v>40830</v>
          </cell>
          <cell r="Z15">
            <v>40830</v>
          </cell>
          <cell r="AA15">
            <v>41190</v>
          </cell>
          <cell r="AC15">
            <v>226397.11</v>
          </cell>
          <cell r="AE15">
            <v>6918.6</v>
          </cell>
          <cell r="AQ15" t="str">
            <v>Con fecha 01/10/12 se envia a tecnica por definitiva. Con fecha 01/11/12 se vuelve a enviar a tecnica por definitiva</v>
          </cell>
        </row>
        <row r="16">
          <cell r="C16">
            <v>44287</v>
          </cell>
          <cell r="D16">
            <v>98494</v>
          </cell>
          <cell r="E16" t="str">
            <v>Licitación Pública</v>
          </cell>
          <cell r="F16">
            <v>4387</v>
          </cell>
          <cell r="G16" t="str">
            <v>TORRES</v>
          </cell>
          <cell r="H16" t="str">
            <v>ZONA 1San Pedro, Mercedes, Chacabuco y Pergamino</v>
          </cell>
          <cell r="I16" t="str">
            <v xml:space="preserve">PROYECTO Y DIRECCION DE OBRAS PARA ADECUACION EDILICIA </v>
          </cell>
          <cell r="J16">
            <v>2400000</v>
          </cell>
          <cell r="K16">
            <v>536100</v>
          </cell>
          <cell r="L16">
            <v>-0.7766249999999999</v>
          </cell>
          <cell r="M16">
            <v>40633</v>
          </cell>
          <cell r="N16">
            <v>0.47916666666666669</v>
          </cell>
          <cell r="O16">
            <v>200</v>
          </cell>
          <cell r="P16" t="str">
            <v>GOLDMAN - GONZALEZ - MALFATTI</v>
          </cell>
          <cell r="Q16">
            <v>40731</v>
          </cell>
          <cell r="T16">
            <v>40772</v>
          </cell>
          <cell r="AQ16" t="str">
            <v xml:space="preserve">EN EJECUCION. </v>
          </cell>
        </row>
        <row r="17">
          <cell r="H17" t="str">
            <v>ZONA 2 Caballito, F Varela, Bernal y Lavallol</v>
          </cell>
          <cell r="K17">
            <v>468800</v>
          </cell>
          <cell r="P17" t="str">
            <v>VALUACIONES S.A.</v>
          </cell>
          <cell r="Q17">
            <v>40731</v>
          </cell>
          <cell r="T17">
            <v>40774</v>
          </cell>
          <cell r="AQ17" t="str">
            <v xml:space="preserve">EN EJECUCION. </v>
          </cell>
        </row>
        <row r="18">
          <cell r="H18" t="str">
            <v xml:space="preserve"> ZONA 3 Palermo, Callao, Nuñez y V Maipú </v>
          </cell>
          <cell r="K18">
            <v>506273.8</v>
          </cell>
          <cell r="P18" t="str">
            <v>KRAFTWELT ARGENTINA S.A.</v>
          </cell>
          <cell r="Q18">
            <v>40731</v>
          </cell>
          <cell r="T18">
            <v>40773</v>
          </cell>
          <cell r="AC18">
            <v>131200</v>
          </cell>
          <cell r="AQ18" t="str">
            <v xml:space="preserve">EN EJECUCION. </v>
          </cell>
        </row>
        <row r="19">
          <cell r="H19" t="str">
            <v>ZONA 4 Gral Villegas, San Miguel, Lincoln y Bragado</v>
          </cell>
          <cell r="K19">
            <v>563050</v>
          </cell>
          <cell r="P19" t="str">
            <v>KRAFTWELT ARGENTINA S.A.</v>
          </cell>
          <cell r="Q19">
            <v>40731</v>
          </cell>
          <cell r="T19">
            <v>40773</v>
          </cell>
          <cell r="AC19">
            <v>123700</v>
          </cell>
          <cell r="AQ19" t="str">
            <v xml:space="preserve">EN EJECUCION. </v>
          </cell>
        </row>
        <row r="20">
          <cell r="C20">
            <v>44332</v>
          </cell>
          <cell r="D20">
            <v>98590</v>
          </cell>
          <cell r="E20" t="str">
            <v xml:space="preserve">Licitación Pública </v>
          </cell>
          <cell r="F20">
            <v>4395</v>
          </cell>
          <cell r="G20" t="str">
            <v>FERNANDEZ</v>
          </cell>
          <cell r="H20" t="str">
            <v>LOCALIZACIONES VARIAS</v>
          </cell>
          <cell r="I20" t="str">
            <v>PROVISION Y COLOCACION DE SEPARADORES DE CAJAS DE TESORERIA Y BANCA ELECTRONICA</v>
          </cell>
          <cell r="J20">
            <v>2115700</v>
          </cell>
          <cell r="K20">
            <v>424424.5</v>
          </cell>
          <cell r="L20">
            <v>-0.79939287233539735</v>
          </cell>
          <cell r="M20">
            <v>40679</v>
          </cell>
          <cell r="N20">
            <v>0.5</v>
          </cell>
          <cell r="O20">
            <v>200</v>
          </cell>
          <cell r="P20" t="str">
            <v>PERFILARTE S.A.</v>
          </cell>
          <cell r="Q20">
            <v>40711</v>
          </cell>
          <cell r="T20">
            <v>40718</v>
          </cell>
          <cell r="U20">
            <v>30</v>
          </cell>
          <cell r="Y20">
            <v>40748</v>
          </cell>
          <cell r="Z20">
            <v>40746</v>
          </cell>
          <cell r="AA20">
            <v>40836</v>
          </cell>
          <cell r="AB20">
            <v>40882</v>
          </cell>
          <cell r="AQ20" t="str">
            <v>Obra con Definitiva</v>
          </cell>
        </row>
        <row r="21">
          <cell r="D21">
            <v>98591</v>
          </cell>
          <cell r="K21">
            <v>722400</v>
          </cell>
          <cell r="P21" t="str">
            <v>MARIANO LANDARTE - AMERICAN TINT</v>
          </cell>
          <cell r="T21">
            <v>40724</v>
          </cell>
          <cell r="U21">
            <v>30</v>
          </cell>
          <cell r="Y21">
            <v>40754</v>
          </cell>
          <cell r="Z21">
            <v>40753</v>
          </cell>
          <cell r="AA21">
            <v>40843</v>
          </cell>
          <cell r="AQ21" t="str">
            <v>Trabajos finalizados y en periodo de garantía. Con fecha 23/07/12 se envia a tecnica por definitiva. Se reitera el 09/10/12 y 05/12/12</v>
          </cell>
        </row>
        <row r="22">
          <cell r="D22">
            <v>98592</v>
          </cell>
          <cell r="K22">
            <v>617910</v>
          </cell>
          <cell r="L22">
            <v>-0.70794063430543075</v>
          </cell>
          <cell r="P22" t="str">
            <v>SIGNO EN FORMA</v>
          </cell>
          <cell r="U22" t="str">
            <v>ITEM 5: 30 DS. ITEM 6: 30 DS. CON 2 ENTREGAS PARCIALES CADA 15 DS.</v>
          </cell>
          <cell r="Z22">
            <v>40754</v>
          </cell>
          <cell r="AA22">
            <v>40844</v>
          </cell>
          <cell r="AQ22" t="str">
            <v>Trabajos finalizados y en periodo de garantía. Con fecha 23/07/12 se envia a tecnica por definitiva. Se reitera el 09/10/12 y 05/12/12</v>
          </cell>
        </row>
        <row r="23">
          <cell r="C23">
            <v>44349</v>
          </cell>
          <cell r="D23">
            <v>99928</v>
          </cell>
          <cell r="E23" t="str">
            <v xml:space="preserve">Licitación Pública </v>
          </cell>
          <cell r="F23">
            <v>4404</v>
          </cell>
          <cell r="G23" t="str">
            <v>FERNANDEZ</v>
          </cell>
          <cell r="H23" t="str">
            <v xml:space="preserve">EDIFICIO GUANAHANI   </v>
          </cell>
          <cell r="I23" t="str">
            <v xml:space="preserve">PROVISION Y COLOCACION DE DOS GRUPOS ELECTROGENOS, INSTALACIONES ANEXAS Y TAREAS COMPLEMENTARIAS </v>
          </cell>
          <cell r="J23">
            <v>1154742</v>
          </cell>
          <cell r="K23">
            <v>1108552.52</v>
          </cell>
          <cell r="L23">
            <v>-3.9999826801138311E-2</v>
          </cell>
          <cell r="M23">
            <v>40718</v>
          </cell>
          <cell r="N23">
            <v>0.52083333333333337</v>
          </cell>
          <cell r="O23">
            <v>200</v>
          </cell>
          <cell r="P23" t="str">
            <v>TURBODISEL SA</v>
          </cell>
          <cell r="Q23">
            <v>40813</v>
          </cell>
          <cell r="T23">
            <v>40890</v>
          </cell>
          <cell r="U23">
            <v>150</v>
          </cell>
          <cell r="Y23">
            <v>41040</v>
          </cell>
          <cell r="Z23">
            <v>41102</v>
          </cell>
          <cell r="AA23">
            <v>41467</v>
          </cell>
          <cell r="AE23">
            <v>41985.9</v>
          </cell>
          <cell r="AQ23" t="str">
            <v>Obra con provisoria y en garantía. 14/01/2013 la instancia técnica informa que el saldo será recepcionado y que restan cumplirse las observaciones del acta provisoria. Con fecha 26/02/2012 solicitan se curse CD de reclamo</v>
          </cell>
        </row>
        <row r="24">
          <cell r="C24">
            <v>44368</v>
          </cell>
          <cell r="D24">
            <v>99771</v>
          </cell>
          <cell r="E24" t="str">
            <v>Licitación Pública</v>
          </cell>
          <cell r="F24">
            <v>4409</v>
          </cell>
          <cell r="G24" t="str">
            <v>FORCINITI</v>
          </cell>
          <cell r="H24" t="str">
            <v>SUCURSALES VILLA DEL PARQUE, ALMAGRO Y MATADEROS</v>
          </cell>
          <cell r="I24" t="str">
            <v>RENOVACIÓN DE EQUIPOS DE AºAº Y CALEFACCIÓN. PREAA 2011. GRUPO A.</v>
          </cell>
          <cell r="J24">
            <v>1733480</v>
          </cell>
          <cell r="K24">
            <v>1820154</v>
          </cell>
          <cell r="L24">
            <v>0.05</v>
          </cell>
          <cell r="M24">
            <v>40735</v>
          </cell>
          <cell r="N24">
            <v>0.52083333333333337</v>
          </cell>
          <cell r="O24">
            <v>200</v>
          </cell>
          <cell r="P24" t="str">
            <v>AIR CENTER S.R.L.</v>
          </cell>
          <cell r="Q24">
            <v>40805</v>
          </cell>
          <cell r="T24">
            <v>40812</v>
          </cell>
          <cell r="U24">
            <v>120</v>
          </cell>
          <cell r="Y24">
            <v>41043</v>
          </cell>
          <cell r="Z24">
            <v>41082</v>
          </cell>
          <cell r="AA24">
            <v>41812</v>
          </cell>
          <cell r="AC24">
            <v>266524.37</v>
          </cell>
          <cell r="AE24">
            <v>22890</v>
          </cell>
          <cell r="AQ24" t="str">
            <v xml:space="preserve">Obra con provisoria y en garantía. Con fecha 01/10/12 se consulta por las observaciones de provisoria y por saldo de obra. Se reitera el 31/12/12. </v>
          </cell>
        </row>
        <row r="25">
          <cell r="C25">
            <v>44372</v>
          </cell>
          <cell r="D25">
            <v>102211</v>
          </cell>
          <cell r="E25" t="str">
            <v>Licitación Pública</v>
          </cell>
          <cell r="F25">
            <v>4411</v>
          </cell>
          <cell r="G25" t="str">
            <v>RIZZARDI</v>
          </cell>
          <cell r="H25" t="str">
            <v>SUC. JOSÉ C. PAZ</v>
          </cell>
          <cell r="I25" t="str">
            <v xml:space="preserve">TRABAJOS DE REMODELACION </v>
          </cell>
          <cell r="J25">
            <v>2183226</v>
          </cell>
          <cell r="K25">
            <v>2542452.5499999998</v>
          </cell>
          <cell r="L25">
            <v>0.16453933307866422</v>
          </cell>
          <cell r="M25">
            <v>40743</v>
          </cell>
          <cell r="N25">
            <v>0.5</v>
          </cell>
          <cell r="O25" t="str">
            <v>$200</v>
          </cell>
          <cell r="P25" t="str">
            <v>COMEXIM ARGENTINA S.A.</v>
          </cell>
          <cell r="Q25">
            <v>40940</v>
          </cell>
          <cell r="T25">
            <v>40996</v>
          </cell>
          <cell r="U25">
            <v>150</v>
          </cell>
          <cell r="Y25">
            <v>41231</v>
          </cell>
          <cell r="Z25">
            <v>41360</v>
          </cell>
          <cell r="AA25">
            <v>41544</v>
          </cell>
          <cell r="AC25">
            <v>148367.03</v>
          </cell>
          <cell r="AQ25" t="str">
            <v>EN EJECUCION. Con fecha 04/12/12 se solicitan novedades de finalización de obra. Se reitera el 11/01/13, 24,01 y 22/02/2013. Con fecha 04/02/2013 el estudio informa que la obra no cuenta con atrasos (existen LNI y ampliaciones de plazo por adicionales que</v>
          </cell>
        </row>
        <row r="26">
          <cell r="C26">
            <v>44373</v>
          </cell>
          <cell r="D26">
            <v>101261</v>
          </cell>
          <cell r="E26" t="str">
            <v>Licitación Pública</v>
          </cell>
          <cell r="F26">
            <v>4412</v>
          </cell>
          <cell r="G26" t="str">
            <v>FORCINITI</v>
          </cell>
          <cell r="H26" t="str">
            <v>SUCURSAL SALADILLO</v>
          </cell>
          <cell r="I26" t="str">
            <v xml:space="preserve">TRABAJOS DE REMODELACION </v>
          </cell>
          <cell r="J26">
            <v>1918437</v>
          </cell>
          <cell r="K26">
            <v>2152153.39</v>
          </cell>
          <cell r="L26">
            <v>0.12182646081158779</v>
          </cell>
          <cell r="M26">
            <v>40743</v>
          </cell>
          <cell r="N26">
            <v>0.45833333333333331</v>
          </cell>
          <cell r="O26" t="str">
            <v>$200</v>
          </cell>
          <cell r="P26" t="str">
            <v>COMEXIM ARGENTINA S.A.</v>
          </cell>
          <cell r="Q26">
            <v>40872</v>
          </cell>
          <cell r="U26">
            <v>150</v>
          </cell>
          <cell r="AQ26" t="str">
            <v>Contrato rescindido de mutuo acuerdo</v>
          </cell>
        </row>
        <row r="27">
          <cell r="C27">
            <v>44374</v>
          </cell>
          <cell r="D27">
            <v>100223</v>
          </cell>
          <cell r="E27" t="str">
            <v>Licitación Pública</v>
          </cell>
          <cell r="F27">
            <v>4413</v>
          </cell>
          <cell r="G27" t="str">
            <v>TORRES</v>
          </cell>
          <cell r="H27" t="str">
            <v>SUC. REMEDIOS DE ESCALADA</v>
          </cell>
          <cell r="I27" t="str">
            <v xml:space="preserve">TRABAJOS DE REMODELACION </v>
          </cell>
          <cell r="J27">
            <v>3046087.49</v>
          </cell>
          <cell r="K27">
            <v>2954704.86</v>
          </cell>
          <cell r="L27">
            <v>-3.0000001739936978E-2</v>
          </cell>
          <cell r="M27">
            <v>40744</v>
          </cell>
          <cell r="N27">
            <v>0.45833333333333331</v>
          </cell>
          <cell r="O27" t="str">
            <v>$200</v>
          </cell>
          <cell r="P27" t="str">
            <v>HERA S.R.L.</v>
          </cell>
          <cell r="Q27">
            <v>40827</v>
          </cell>
          <cell r="T27">
            <v>40931</v>
          </cell>
          <cell r="U27">
            <v>150</v>
          </cell>
          <cell r="Y27">
            <v>41201</v>
          </cell>
          <cell r="Z27">
            <v>41258</v>
          </cell>
          <cell r="AA27">
            <v>41438</v>
          </cell>
          <cell r="AC27">
            <v>207566.7</v>
          </cell>
          <cell r="AE27">
            <v>69822.06</v>
          </cell>
          <cell r="AQ27" t="str">
            <v xml:space="preserve">Obra con provisoria y en garantia. Con fecha 19/02/2013 informan que remitiran informe de plazos </v>
          </cell>
        </row>
        <row r="28">
          <cell r="C28">
            <v>44375</v>
          </cell>
          <cell r="D28">
            <v>101321</v>
          </cell>
          <cell r="E28" t="str">
            <v>Licitación Pública</v>
          </cell>
          <cell r="F28">
            <v>4414</v>
          </cell>
          <cell r="G28" t="str">
            <v>RIZZARDI</v>
          </cell>
          <cell r="H28" t="str">
            <v>SUC. GRAL RODRIGUEZ</v>
          </cell>
          <cell r="I28" t="str">
            <v xml:space="preserve">TRABAJOS DE REMODELACION </v>
          </cell>
          <cell r="J28">
            <v>2660809</v>
          </cell>
          <cell r="K28">
            <v>3021829.95</v>
          </cell>
          <cell r="L28">
            <v>0.13568089629883245</v>
          </cell>
          <cell r="M28">
            <v>40744</v>
          </cell>
          <cell r="N28">
            <v>0.5</v>
          </cell>
          <cell r="O28" t="str">
            <v>$200</v>
          </cell>
          <cell r="P28" t="str">
            <v>RADIOTRONICA S.A.</v>
          </cell>
          <cell r="Q28">
            <v>40872</v>
          </cell>
          <cell r="T28">
            <v>40924</v>
          </cell>
          <cell r="U28">
            <v>150</v>
          </cell>
          <cell r="Y28">
            <v>41152</v>
          </cell>
          <cell r="Z28">
            <v>41271</v>
          </cell>
          <cell r="AA28">
            <v>41451</v>
          </cell>
          <cell r="AC28">
            <v>209141.49</v>
          </cell>
          <cell r="AE28">
            <v>40682.78</v>
          </cell>
          <cell r="AQ28" t="str">
            <v xml:space="preserve">Con provisoria y en garantia. Deben informe de plazos. Con fecha 26/02/2013 se reciben detalle de OS. Con fecha 26/02/13 se reclama inf de plazos </v>
          </cell>
        </row>
        <row r="29">
          <cell r="C29">
            <v>44379</v>
          </cell>
          <cell r="D29">
            <v>100754</v>
          </cell>
          <cell r="E29" t="str">
            <v xml:space="preserve">Licitación Pública </v>
          </cell>
          <cell r="F29">
            <v>4415</v>
          </cell>
          <cell r="G29" t="str">
            <v>FORCINITI</v>
          </cell>
          <cell r="H29" t="str">
            <v xml:space="preserve">SUCURSALES SAN ANDRES DE GILES, CHIVILCOY Y LUJAN </v>
          </cell>
          <cell r="I29" t="str">
            <v>RENOVACIÓN DE EQUIPOS DE AºAº Y CALEFACCIÓN. PREAA 2011. GRUPO B.</v>
          </cell>
          <cell r="J29">
            <v>1907470</v>
          </cell>
          <cell r="K29">
            <v>2093639.1</v>
          </cell>
          <cell r="L29">
            <v>9.7600014679130001E-2</v>
          </cell>
          <cell r="M29">
            <v>40745</v>
          </cell>
          <cell r="N29">
            <v>0.45833333333333331</v>
          </cell>
          <cell r="O29">
            <v>200</v>
          </cell>
          <cell r="P29" t="str">
            <v>BRV Instalaciones Termomecánicas SRL</v>
          </cell>
          <cell r="Q29">
            <v>40841</v>
          </cell>
          <cell r="T29">
            <v>40849</v>
          </cell>
          <cell r="U29">
            <v>150</v>
          </cell>
          <cell r="Y29">
            <v>41064</v>
          </cell>
          <cell r="Z29">
            <v>41064</v>
          </cell>
          <cell r="AA29">
            <v>41794</v>
          </cell>
          <cell r="AC29">
            <v>41355.65</v>
          </cell>
          <cell r="AQ29" t="str">
            <v>Obra con provisoria y en garantía.</v>
          </cell>
        </row>
        <row r="30">
          <cell r="C30">
            <v>44383</v>
          </cell>
          <cell r="D30">
            <v>101136</v>
          </cell>
          <cell r="E30" t="str">
            <v>Licitación Pública</v>
          </cell>
          <cell r="F30">
            <v>4416</v>
          </cell>
          <cell r="G30" t="str">
            <v>TORRES</v>
          </cell>
          <cell r="H30" t="str">
            <v>SUCURSALES VARIAS - ZONAS LA PLATA Y MAR DEL PLATA</v>
          </cell>
          <cell r="I30" t="str">
            <v>ADECUACIÓN DE BANCAS ELECTRÓNICAS</v>
          </cell>
          <cell r="J30">
            <v>787117.3</v>
          </cell>
          <cell r="K30">
            <v>478919.12</v>
          </cell>
          <cell r="M30">
            <v>40757</v>
          </cell>
          <cell r="N30">
            <v>0.47916666666666669</v>
          </cell>
          <cell r="O30">
            <v>157</v>
          </cell>
          <cell r="P30" t="str">
            <v>PERFILARTE S.A.</v>
          </cell>
          <cell r="Q30">
            <v>40876</v>
          </cell>
          <cell r="T30">
            <v>40897</v>
          </cell>
          <cell r="U30">
            <v>45</v>
          </cell>
          <cell r="Y30">
            <v>40956</v>
          </cell>
          <cell r="Z30">
            <v>40956</v>
          </cell>
          <cell r="AA30">
            <v>41136</v>
          </cell>
          <cell r="AC30">
            <v>86844.34</v>
          </cell>
          <cell r="AQ30" t="str">
            <v>Con fecha 01/08/2012 se pide definitiva. Se reitera el 09/10/12, 08/11/12, 05/12/12 y 20/12/12</v>
          </cell>
        </row>
        <row r="31">
          <cell r="K31">
            <v>288479.53000000003</v>
          </cell>
          <cell r="P31" t="str">
            <v>FAST-WORK de Ricardo Bodner</v>
          </cell>
          <cell r="AQ31" t="str">
            <v>Se desestiman todas las ofertas del Item 2</v>
          </cell>
        </row>
        <row r="32">
          <cell r="C32">
            <v>44390</v>
          </cell>
          <cell r="D32">
            <v>101994</v>
          </cell>
          <cell r="E32" t="str">
            <v xml:space="preserve">Licitación Pública </v>
          </cell>
          <cell r="F32">
            <v>4419</v>
          </cell>
          <cell r="G32" t="str">
            <v>FORCINITI</v>
          </cell>
          <cell r="H32" t="str">
            <v>SUCURSAL ITUZAINGO</v>
          </cell>
          <cell r="I32" t="str">
            <v xml:space="preserve">TRABAJOS DE REMODELACION </v>
          </cell>
          <cell r="J32">
            <v>2062215</v>
          </cell>
          <cell r="K32">
            <v>2439710</v>
          </cell>
          <cell r="L32">
            <v>0.18305317340820423</v>
          </cell>
          <cell r="M32">
            <v>40763</v>
          </cell>
          <cell r="N32">
            <v>0.47916666666666669</v>
          </cell>
          <cell r="O32">
            <v>200</v>
          </cell>
          <cell r="P32" t="str">
            <v>RADIOTRONICA S.A.</v>
          </cell>
          <cell r="Q32">
            <v>40935</v>
          </cell>
          <cell r="T32">
            <v>40982</v>
          </cell>
          <cell r="U32">
            <v>150</v>
          </cell>
          <cell r="Y32">
            <v>41171</v>
          </cell>
          <cell r="Z32">
            <v>41305</v>
          </cell>
          <cell r="AA32">
            <v>41485</v>
          </cell>
          <cell r="AC32">
            <v>228452.12</v>
          </cell>
          <cell r="AE32">
            <v>2845.32</v>
          </cell>
          <cell r="AQ32" t="str">
            <v>Obra con provisoria y en garantía. Deben informe de plazos . Con fecha 11/04/13 se envia a contaduria informe de adicionales y se consulta a la instancia tecnica sobre el plazo de la obra, cumplimiento de las observaciones del acta de provisoria y la reev</v>
          </cell>
        </row>
        <row r="33">
          <cell r="C33">
            <v>44391</v>
          </cell>
          <cell r="D33">
            <v>102926</v>
          </cell>
          <cell r="E33" t="str">
            <v xml:space="preserve">Licitación Pública </v>
          </cell>
          <cell r="F33">
            <v>4420</v>
          </cell>
          <cell r="G33" t="str">
            <v>TORRES</v>
          </cell>
          <cell r="H33" t="str">
            <v>SUCURSAL TEMPERLEY</v>
          </cell>
          <cell r="I33" t="str">
            <v xml:space="preserve">TRABAJOS DE REMODELACION </v>
          </cell>
          <cell r="J33">
            <v>2664200</v>
          </cell>
          <cell r="K33">
            <v>2760111.2</v>
          </cell>
          <cell r="L33">
            <v>3.5999999999999942E-2</v>
          </cell>
          <cell r="M33">
            <v>40764</v>
          </cell>
          <cell r="N33">
            <v>0.52083333333333337</v>
          </cell>
          <cell r="O33" t="str">
            <v>$200</v>
          </cell>
          <cell r="P33" t="str">
            <v>ROARCO SRL</v>
          </cell>
          <cell r="Q33">
            <v>40998</v>
          </cell>
          <cell r="T33">
            <v>41059</v>
          </cell>
          <cell r="U33">
            <v>150</v>
          </cell>
          <cell r="Y33">
            <v>41313</v>
          </cell>
          <cell r="Z33">
            <v>41320</v>
          </cell>
          <cell r="AA33">
            <v>41501</v>
          </cell>
          <cell r="AC33">
            <v>438126.39</v>
          </cell>
          <cell r="AQ33" t="str">
            <v>EN EJECUCION. Con fecha 23/04/13 se reclama acta de provisoria (fecha informada via telefonica) e informe de plazos</v>
          </cell>
        </row>
        <row r="34">
          <cell r="C34">
            <v>44392</v>
          </cell>
          <cell r="D34">
            <v>101995</v>
          </cell>
          <cell r="E34" t="str">
            <v xml:space="preserve">Licitación Pública </v>
          </cell>
          <cell r="F34">
            <v>4421</v>
          </cell>
          <cell r="G34" t="str">
            <v>FORCINITI</v>
          </cell>
          <cell r="H34" t="str">
            <v>SUCURSAL LOS POLVORINES</v>
          </cell>
          <cell r="I34" t="str">
            <v xml:space="preserve">TRABAJOS DE REMODELACION </v>
          </cell>
          <cell r="J34">
            <v>1798121</v>
          </cell>
          <cell r="K34">
            <v>2125855.2000000002</v>
          </cell>
          <cell r="L34">
            <v>0.18226481977575504</v>
          </cell>
          <cell r="M34">
            <v>40764</v>
          </cell>
          <cell r="N34">
            <v>0.47916666666666669</v>
          </cell>
          <cell r="O34">
            <v>200</v>
          </cell>
          <cell r="P34" t="str">
            <v>RADIOTRONICA S.A.</v>
          </cell>
          <cell r="Q34">
            <v>40935</v>
          </cell>
          <cell r="T34">
            <v>40988</v>
          </cell>
          <cell r="U34">
            <v>150</v>
          </cell>
          <cell r="Y34">
            <v>41138</v>
          </cell>
          <cell r="Z34">
            <v>41360</v>
          </cell>
          <cell r="AA34">
            <v>41544</v>
          </cell>
          <cell r="AQ34" t="str">
            <v>EN EJECUCION. Se reclaman novedades de avance y finalización de obra el 29/08/12, se reitera el 10/09/12, 03/10/12, 05/11/12 y 05/12/12. Con fecha 14/01/13 se consulta novedades de obra y evaluacion de notas presentadas por la empresa. Existen ampliacione</v>
          </cell>
        </row>
        <row r="35">
          <cell r="C35">
            <v>44399</v>
          </cell>
          <cell r="D35">
            <v>100423</v>
          </cell>
          <cell r="E35" t="str">
            <v xml:space="preserve">Licitación Pública </v>
          </cell>
          <cell r="F35">
            <v>4424</v>
          </cell>
          <cell r="G35" t="str">
            <v>FERNANDEZ</v>
          </cell>
          <cell r="H35" t="str">
            <v>SUCURSALES GARIN, DON TORCUATO, FLORIDA Y ALDO BONZI</v>
          </cell>
          <cell r="I35" t="str">
            <v>RENOVACIÓN DE EQUIPOS DE AºAº Y CALEFACCIÓN. PREAA 2011. GRUPO C.</v>
          </cell>
          <cell r="J35">
            <v>1583140</v>
          </cell>
          <cell r="K35">
            <v>1662297</v>
          </cell>
          <cell r="L35">
            <v>0.05</v>
          </cell>
          <cell r="M35">
            <v>40773</v>
          </cell>
          <cell r="N35">
            <v>0.47916666666666669</v>
          </cell>
          <cell r="O35">
            <v>200</v>
          </cell>
          <cell r="P35" t="str">
            <v>AIR CENTER S.R.L.</v>
          </cell>
          <cell r="Q35">
            <v>40841</v>
          </cell>
          <cell r="T35">
            <v>40851</v>
          </cell>
          <cell r="U35">
            <v>90</v>
          </cell>
          <cell r="Y35">
            <v>40941</v>
          </cell>
          <cell r="Z35">
            <v>41100</v>
          </cell>
          <cell r="AA35">
            <v>41830</v>
          </cell>
          <cell r="AQ35" t="str">
            <v xml:space="preserve">Obra con provisoria y en garantía. </v>
          </cell>
        </row>
        <row r="36">
          <cell r="C36">
            <v>44408</v>
          </cell>
          <cell r="D36">
            <v>101345</v>
          </cell>
          <cell r="E36" t="str">
            <v xml:space="preserve">Licitación Pública </v>
          </cell>
          <cell r="F36">
            <v>4426</v>
          </cell>
          <cell r="G36" t="str">
            <v>RIZZARDI</v>
          </cell>
          <cell r="H36" t="str">
            <v xml:space="preserve">ZONA AVELLANEDA </v>
          </cell>
          <cell r="I36" t="str">
            <v xml:space="preserve">ADECUACION DE BANCA ELECTRONICA </v>
          </cell>
          <cell r="J36">
            <v>858413.88</v>
          </cell>
          <cell r="K36">
            <v>323736.88</v>
          </cell>
          <cell r="M36">
            <v>40778</v>
          </cell>
          <cell r="N36">
            <v>0.47916666666666669</v>
          </cell>
          <cell r="O36" t="str">
            <v>$200</v>
          </cell>
          <cell r="P36" t="str">
            <v>TUBIO CONSTRUCCIONES</v>
          </cell>
          <cell r="Q36">
            <v>40878</v>
          </cell>
          <cell r="T36">
            <v>40905</v>
          </cell>
          <cell r="U36">
            <v>45</v>
          </cell>
          <cell r="Y36">
            <v>41017</v>
          </cell>
          <cell r="Z36">
            <v>41094</v>
          </cell>
          <cell r="AA36">
            <v>41274</v>
          </cell>
          <cell r="AC36">
            <v>63458.12</v>
          </cell>
          <cell r="AQ36" t="str">
            <v>Con fecha 09.01.2013 se envia a tecnica por definitiva.- Con definitiva</v>
          </cell>
        </row>
        <row r="37">
          <cell r="K37">
            <v>219589.48</v>
          </cell>
          <cell r="P37" t="str">
            <v>PERFILARTE S.A.</v>
          </cell>
          <cell r="Q37">
            <v>40878</v>
          </cell>
          <cell r="T37">
            <v>40897</v>
          </cell>
          <cell r="Y37">
            <v>41011</v>
          </cell>
          <cell r="Z37">
            <v>41092</v>
          </cell>
          <cell r="AA37">
            <v>41272</v>
          </cell>
          <cell r="AC37">
            <v>43330.76</v>
          </cell>
          <cell r="AQ37" t="str">
            <v>09.01.2013 a tecnica por definitiva.-</v>
          </cell>
        </row>
        <row r="38">
          <cell r="K38">
            <v>290883</v>
          </cell>
          <cell r="P38" t="str">
            <v>SEOANE Construcciones e Instalaciones SRL</v>
          </cell>
          <cell r="Q38">
            <v>40878</v>
          </cell>
          <cell r="T38">
            <v>40904</v>
          </cell>
          <cell r="Y38">
            <v>41054</v>
          </cell>
          <cell r="Z38">
            <v>41121</v>
          </cell>
          <cell r="AA38">
            <v>41301</v>
          </cell>
          <cell r="AC38">
            <v>57112.5</v>
          </cell>
          <cell r="AQ38" t="str">
            <v>09.01.2013 a tecnica por definitiva.-</v>
          </cell>
        </row>
        <row r="39">
          <cell r="C39">
            <v>44415</v>
          </cell>
          <cell r="D39">
            <v>102224</v>
          </cell>
          <cell r="E39" t="str">
            <v xml:space="preserve">Licitación Pública </v>
          </cell>
          <cell r="F39">
            <v>4428</v>
          </cell>
          <cell r="G39" t="str">
            <v>FORCINITI</v>
          </cell>
          <cell r="H39" t="str">
            <v>SUCURSAL CASEROS</v>
          </cell>
          <cell r="I39" t="str">
            <v xml:space="preserve">TRABAJOS DE REMODELACION </v>
          </cell>
          <cell r="J39">
            <v>2754625.69</v>
          </cell>
          <cell r="K39">
            <v>2974995.75</v>
          </cell>
          <cell r="L39">
            <v>8.0000001742523488E-2</v>
          </cell>
          <cell r="M39">
            <v>40779</v>
          </cell>
          <cell r="N39">
            <v>0.5625</v>
          </cell>
          <cell r="O39">
            <v>200</v>
          </cell>
          <cell r="P39" t="str">
            <v>RS Montajes y Obras SRL</v>
          </cell>
          <cell r="Q39">
            <v>40949</v>
          </cell>
          <cell r="T39">
            <v>40987</v>
          </cell>
          <cell r="U39">
            <v>150</v>
          </cell>
          <cell r="Y39">
            <v>41230</v>
          </cell>
          <cell r="Z39">
            <v>41302</v>
          </cell>
          <cell r="AA39">
            <v>41482</v>
          </cell>
          <cell r="AC39">
            <v>330294.21999999997</v>
          </cell>
          <cell r="AQ39" t="str">
            <v xml:space="preserve">Obra con provisoria y en garantia. Deben informe de plazos . Con fecha 19/04/13 se envia a contaduria inf de red de adicionales y adic </v>
          </cell>
        </row>
        <row r="40">
          <cell r="C40">
            <v>44418</v>
          </cell>
          <cell r="D40">
            <v>100400</v>
          </cell>
          <cell r="E40" t="str">
            <v xml:space="preserve">Licitación Pública </v>
          </cell>
          <cell r="F40">
            <v>4430</v>
          </cell>
          <cell r="G40" t="str">
            <v>FERNANDEZ</v>
          </cell>
          <cell r="H40" t="str">
            <v>SUCURSAL AVDA. 44 LA PLATA, CITY BELL, RAFAEL CALZADA Y CASEROS</v>
          </cell>
          <cell r="I40" t="str">
            <v xml:space="preserve">RENOVACION DE AºAº Y CALEFACCION - PREAA 2011 - GRUPO D </v>
          </cell>
          <cell r="J40">
            <v>1719710</v>
          </cell>
          <cell r="K40">
            <v>1616527.4</v>
          </cell>
          <cell r="L40">
            <v>-0.06</v>
          </cell>
          <cell r="M40">
            <v>40779</v>
          </cell>
          <cell r="N40">
            <v>0.52083333333333337</v>
          </cell>
          <cell r="O40">
            <v>200</v>
          </cell>
          <cell r="P40" t="str">
            <v>BRV Instalaciones Termomecánicas SRL</v>
          </cell>
          <cell r="Q40">
            <v>40840</v>
          </cell>
          <cell r="T40">
            <v>40850</v>
          </cell>
          <cell r="U40">
            <v>90</v>
          </cell>
          <cell r="Y40">
            <v>41064</v>
          </cell>
          <cell r="Z40">
            <v>41064</v>
          </cell>
          <cell r="AA40">
            <v>41794</v>
          </cell>
          <cell r="AC40">
            <v>9482.2000000000007</v>
          </cell>
          <cell r="AQ40" t="str">
            <v>Obra con provisoria y en garantía.</v>
          </cell>
        </row>
        <row r="41">
          <cell r="C41">
            <v>44420</v>
          </cell>
          <cell r="D41">
            <v>101867</v>
          </cell>
          <cell r="E41" t="str">
            <v>Licitación Pública</v>
          </cell>
          <cell r="F41">
            <v>4433</v>
          </cell>
          <cell r="G41" t="str">
            <v>FORCINITI</v>
          </cell>
          <cell r="H41" t="str">
            <v>ZONA MORON.</v>
          </cell>
          <cell r="I41" t="str">
            <v>ADECUACIÓN DE BANCAS ELECTRÓNICAS</v>
          </cell>
          <cell r="J41">
            <v>1009648</v>
          </cell>
          <cell r="K41">
            <v>339014</v>
          </cell>
          <cell r="L41">
            <v>-0.66422555187550514</v>
          </cell>
          <cell r="M41">
            <v>40808</v>
          </cell>
          <cell r="N41">
            <v>0.5</v>
          </cell>
          <cell r="O41">
            <v>200</v>
          </cell>
          <cell r="P41" t="str">
            <v>Servimax De Diego Rivero</v>
          </cell>
          <cell r="Q41">
            <v>40896</v>
          </cell>
          <cell r="T41">
            <v>40934</v>
          </cell>
          <cell r="U41">
            <v>45</v>
          </cell>
          <cell r="Y41">
            <v>40990</v>
          </cell>
          <cell r="AQ41" t="str">
            <v>EN EJECUCION .Con fecha 11/12/12 sale consulta gral sobre estado de las obras de bancas electronicas. Se reitera el 15/01/13. (lni de 165 ds. cs.). Con fecha 16/4/13 se recibe informe de lni</v>
          </cell>
        </row>
        <row r="42">
          <cell r="D42">
            <v>101868</v>
          </cell>
          <cell r="K42">
            <v>356507</v>
          </cell>
          <cell r="P42" t="str">
            <v>PERFILARTE S.A.</v>
          </cell>
          <cell r="Q42">
            <v>40896</v>
          </cell>
          <cell r="T42">
            <v>40954</v>
          </cell>
          <cell r="Y42">
            <v>40999</v>
          </cell>
          <cell r="AQ42" t="str">
            <v>EN EJECUCION. Paralizada desde el 10/08/12. Se consulta estado actual de la obra el 02/11/12, se reitera el 06/12/12</v>
          </cell>
        </row>
        <row r="43">
          <cell r="C43">
            <v>44425</v>
          </cell>
          <cell r="D43">
            <v>99929</v>
          </cell>
          <cell r="E43" t="str">
            <v>Licitación Pública</v>
          </cell>
          <cell r="F43">
            <v>4434</v>
          </cell>
          <cell r="G43" t="str">
            <v>TORRES</v>
          </cell>
          <cell r="H43" t="str">
            <v>SUCURSAL BELGRANO</v>
          </cell>
          <cell r="I43" t="str">
            <v xml:space="preserve">TRABAJOS DE REMODELACION </v>
          </cell>
          <cell r="J43">
            <v>3429303.7</v>
          </cell>
          <cell r="K43">
            <v>3638516.12</v>
          </cell>
          <cell r="L43">
            <v>6.100725928706751E-2</v>
          </cell>
          <cell r="M43">
            <v>40780</v>
          </cell>
          <cell r="N43">
            <v>0.58333333333333337</v>
          </cell>
          <cell r="O43">
            <v>200</v>
          </cell>
          <cell r="P43" t="str">
            <v>ROARCO SRL</v>
          </cell>
          <cell r="Q43">
            <v>40816</v>
          </cell>
          <cell r="T43">
            <v>40945</v>
          </cell>
          <cell r="U43">
            <v>150</v>
          </cell>
          <cell r="Y43">
            <v>41202</v>
          </cell>
          <cell r="Z43">
            <v>41276</v>
          </cell>
          <cell r="AA43">
            <v>41456</v>
          </cell>
          <cell r="AC43">
            <v>93723.520000000004</v>
          </cell>
          <cell r="AQ43" t="str">
            <v>Obra con provisoria y en garantia. Con fecha 15/04/13 se solicita a sym informe de plazos e indique si las observaciones del acta fueron cumplimentadas.</v>
          </cell>
        </row>
        <row r="44">
          <cell r="C44">
            <v>44424</v>
          </cell>
          <cell r="D44">
            <v>102259</v>
          </cell>
          <cell r="E44" t="str">
            <v>Licitación Pública</v>
          </cell>
          <cell r="F44">
            <v>4435</v>
          </cell>
          <cell r="G44" t="str">
            <v>FERNANDEZ</v>
          </cell>
          <cell r="H44" t="str">
            <v>SUCURSAL BERAZATEGUI</v>
          </cell>
          <cell r="I44" t="str">
            <v xml:space="preserve">TRABAJOS DE REMODELACION </v>
          </cell>
          <cell r="J44">
            <v>2511516</v>
          </cell>
          <cell r="K44">
            <v>2616999.67</v>
          </cell>
          <cell r="L44">
            <v>4.199999920366821E-2</v>
          </cell>
          <cell r="M44">
            <v>40802</v>
          </cell>
          <cell r="N44">
            <v>0.52083333333333337</v>
          </cell>
          <cell r="O44">
            <v>200</v>
          </cell>
          <cell r="P44" t="str">
            <v xml:space="preserve">ROARCO SRL </v>
          </cell>
          <cell r="Q44">
            <v>40956</v>
          </cell>
          <cell r="T44">
            <v>40974</v>
          </cell>
          <cell r="U44">
            <v>150</v>
          </cell>
          <cell r="Y44">
            <v>41258</v>
          </cell>
          <cell r="Z44">
            <v>41289</v>
          </cell>
          <cell r="AA44">
            <v>41469</v>
          </cell>
          <cell r="AC44">
            <v>473754.84</v>
          </cell>
          <cell r="AQ44" t="str">
            <v xml:space="preserve">Obra con provisoria y en garantía. </v>
          </cell>
        </row>
        <row r="45">
          <cell r="C45">
            <v>44430</v>
          </cell>
          <cell r="D45">
            <v>101087</v>
          </cell>
          <cell r="E45" t="str">
            <v>Licitación Pública</v>
          </cell>
          <cell r="F45">
            <v>4438</v>
          </cell>
          <cell r="G45" t="str">
            <v>FERNANDEZ</v>
          </cell>
          <cell r="H45" t="str">
            <v>ZONA AVELLANEDA</v>
          </cell>
          <cell r="I45" t="str">
            <v>ADECUACION BANCAS ELECTRONICAS EN SUCURSALES VARIAS</v>
          </cell>
          <cell r="J45">
            <v>279190.84000000003</v>
          </cell>
          <cell r="K45">
            <v>354572.36</v>
          </cell>
          <cell r="L45">
            <v>0.26999997564389999</v>
          </cell>
          <cell r="M45">
            <v>40809</v>
          </cell>
          <cell r="N45">
            <v>0.52083333333333337</v>
          </cell>
          <cell r="O45">
            <v>200</v>
          </cell>
          <cell r="P45" t="str">
            <v>M &amp; S Pintura Integral</v>
          </cell>
          <cell r="Q45">
            <v>40882</v>
          </cell>
          <cell r="T45">
            <v>40904</v>
          </cell>
          <cell r="U45">
            <v>45</v>
          </cell>
          <cell r="Y45">
            <v>40949</v>
          </cell>
          <cell r="Z45">
            <v>40947</v>
          </cell>
          <cell r="AA45">
            <v>41127</v>
          </cell>
          <cell r="AB45">
            <v>41278</v>
          </cell>
          <cell r="AC45">
            <v>53112.05</v>
          </cell>
          <cell r="AQ45" t="str">
            <v>Obra con definitiva. Con fecha 19/02/13 se consulta por el saldo de obra</v>
          </cell>
        </row>
        <row r="46">
          <cell r="D46">
            <v>101088</v>
          </cell>
          <cell r="J46">
            <v>348203</v>
          </cell>
          <cell r="K46">
            <v>382326.9</v>
          </cell>
          <cell r="L46">
            <v>9.800001723132766E-2</v>
          </cell>
          <cell r="P46" t="str">
            <v>RS Montajes y Obras SRL</v>
          </cell>
          <cell r="Q46">
            <v>40882</v>
          </cell>
          <cell r="T46">
            <v>40893</v>
          </cell>
          <cell r="Y46">
            <v>41009</v>
          </cell>
          <cell r="AC46">
            <v>66349.59</v>
          </cell>
          <cell r="AQ46" t="str">
            <v>Trabajos paralizados.Con fecha 11/12/12 sale consulta gral sobre estado de las obras en bancas electronicas, se reitera el 15/01/13, 07/02/13 y 19/02/13</v>
          </cell>
        </row>
        <row r="47">
          <cell r="D47">
            <v>101089</v>
          </cell>
          <cell r="J47">
            <v>398873.1</v>
          </cell>
          <cell r="K47">
            <v>370951.98</v>
          </cell>
          <cell r="L47">
            <v>-7.0000007521189081E-2</v>
          </cell>
          <cell r="P47" t="str">
            <v>PERFILARTE S.A.</v>
          </cell>
          <cell r="Q47">
            <v>40882</v>
          </cell>
          <cell r="T47">
            <v>40897</v>
          </cell>
          <cell r="Y47">
            <v>41129</v>
          </cell>
          <cell r="AQ47" t="str">
            <v>EN EJECUCION. Con fecha 23/08/12 se reclama provisoria, se reitera el 01/10/12 y 01/10/12. Con fecha 19/10/2012 se recibe informe por 144 dias de LNI. Se solicitan novedades el 11/12/12, se reitera el 15/01/13, 07/02/13 y 19/02/13</v>
          </cell>
        </row>
        <row r="48">
          <cell r="C48">
            <v>44433</v>
          </cell>
          <cell r="D48">
            <v>102011</v>
          </cell>
          <cell r="E48" t="str">
            <v>Licitación Pública</v>
          </cell>
          <cell r="F48">
            <v>4439</v>
          </cell>
          <cell r="G48" t="str">
            <v>FORCINITI</v>
          </cell>
          <cell r="H48" t="str">
            <v>SUCURSALES S. F. SOLANO, EZEIZA, BURZACO, TRENQUE LAUQUEN Y CHACABUCO</v>
          </cell>
          <cell r="I48" t="str">
            <v>RENOVACION DE AºAº Y CALEFACCION - PREAA 2011 - GRUPO E</v>
          </cell>
          <cell r="J48">
            <v>1063990</v>
          </cell>
          <cell r="K48">
            <v>1111869.55</v>
          </cell>
          <cell r="L48">
            <v>4.4999999999999998E-2</v>
          </cell>
          <cell r="M48">
            <v>40802</v>
          </cell>
          <cell r="N48">
            <v>0.47916666666666669</v>
          </cell>
          <cell r="O48">
            <v>200</v>
          </cell>
          <cell r="P48" t="str">
            <v>BRV Instalaciones Termomecánicas SRL</v>
          </cell>
          <cell r="Q48">
            <v>40935</v>
          </cell>
          <cell r="T48">
            <v>40988</v>
          </cell>
          <cell r="U48">
            <v>90</v>
          </cell>
          <cell r="Y48">
            <v>41078</v>
          </cell>
          <cell r="Z48">
            <v>41290</v>
          </cell>
          <cell r="AA48">
            <v>42020</v>
          </cell>
          <cell r="AQ48" t="str">
            <v>Obra con provisoria y en garantía. Con fecha 07/02/13 se recibe amp de plazo</v>
          </cell>
        </row>
        <row r="49">
          <cell r="D49">
            <v>102012</v>
          </cell>
          <cell r="J49">
            <v>1058100</v>
          </cell>
          <cell r="K49">
            <v>1237977</v>
          </cell>
          <cell r="L49">
            <v>0.17</v>
          </cell>
          <cell r="P49" t="str">
            <v>Zumar SRL</v>
          </cell>
          <cell r="Q49">
            <v>40935</v>
          </cell>
          <cell r="T49">
            <v>41008</v>
          </cell>
          <cell r="U49">
            <v>90</v>
          </cell>
          <cell r="Y49">
            <v>41098</v>
          </cell>
          <cell r="Z49">
            <v>41098</v>
          </cell>
          <cell r="AA49">
            <v>41828</v>
          </cell>
          <cell r="AC49">
            <v>28437.64</v>
          </cell>
          <cell r="AQ49" t="str">
            <v xml:space="preserve">Obra finalizada y en garantia. </v>
          </cell>
        </row>
        <row r="50">
          <cell r="C50">
            <v>44443</v>
          </cell>
          <cell r="D50">
            <v>103667</v>
          </cell>
          <cell r="E50" t="str">
            <v>Licitación Pública</v>
          </cell>
          <cell r="F50">
            <v>4444</v>
          </cell>
          <cell r="G50" t="str">
            <v>TORRES</v>
          </cell>
          <cell r="H50" t="str">
            <v>SUCURSALES VARIAS - ZONA MAR DEL PLATA</v>
          </cell>
          <cell r="I50" t="str">
            <v>ADECUACIÓN DE BANCAS ELECTRÓNICAS</v>
          </cell>
          <cell r="J50">
            <v>1086815</v>
          </cell>
          <cell r="K50">
            <v>1139552.53</v>
          </cell>
          <cell r="L50">
            <v>4.8524845534888644E-2</v>
          </cell>
          <cell r="M50">
            <v>40823</v>
          </cell>
          <cell r="N50">
            <v>0.52083333333333337</v>
          </cell>
          <cell r="O50">
            <v>200</v>
          </cell>
          <cell r="P50" t="str">
            <v>PERFILARTE S.A.</v>
          </cell>
          <cell r="Q50">
            <v>41052</v>
          </cell>
          <cell r="T50">
            <v>41092</v>
          </cell>
          <cell r="U50">
            <v>45</v>
          </cell>
          <cell r="Y50">
            <v>41137</v>
          </cell>
          <cell r="Z50">
            <v>41264</v>
          </cell>
          <cell r="AQ50" t="str">
            <v>Obra con provisoria y en garantia</v>
          </cell>
        </row>
        <row r="51">
          <cell r="C51">
            <v>44451</v>
          </cell>
          <cell r="D51">
            <v>102796</v>
          </cell>
          <cell r="E51" t="str">
            <v>Licitación Pública</v>
          </cell>
          <cell r="F51">
            <v>4449</v>
          </cell>
          <cell r="G51" t="str">
            <v>RIZZARDI</v>
          </cell>
          <cell r="H51" t="str">
            <v>SUCURSAL WILDE</v>
          </cell>
          <cell r="I51" t="str">
            <v>TRABAJOS DE REMODELACION</v>
          </cell>
          <cell r="J51">
            <v>2449375</v>
          </cell>
          <cell r="K51">
            <v>2339153.13</v>
          </cell>
          <cell r="L51">
            <v>-4.4999997958662871E-2</v>
          </cell>
          <cell r="M51">
            <v>40832</v>
          </cell>
          <cell r="N51">
            <v>0.52083333333333337</v>
          </cell>
          <cell r="O51">
            <v>200</v>
          </cell>
          <cell r="P51" t="str">
            <v>WARLET S.A.</v>
          </cell>
          <cell r="Q51">
            <v>40987</v>
          </cell>
          <cell r="T51">
            <v>41064</v>
          </cell>
          <cell r="U51">
            <v>150</v>
          </cell>
          <cell r="Y51">
            <v>41309</v>
          </cell>
          <cell r="AC51">
            <v>215101.63</v>
          </cell>
          <cell r="AE51">
            <v>59328.42</v>
          </cell>
          <cell r="AQ51" t="str">
            <v>EN EJECUCION. Con fecha 14/12/12 se solicitan novedades de finalización de obra, SE REITERA EL 07/01/13</v>
          </cell>
        </row>
        <row r="52">
          <cell r="C52">
            <v>44457</v>
          </cell>
          <cell r="D52">
            <v>102010</v>
          </cell>
          <cell r="E52" t="str">
            <v>Licitación Pública</v>
          </cell>
          <cell r="F52">
            <v>4454</v>
          </cell>
          <cell r="G52" t="str">
            <v>FERNANDEZ</v>
          </cell>
          <cell r="H52" t="str">
            <v>SUCURSALES GRAL.MADARIAGA, DOLORES, INDEPENDENCIA, TERS ARROYOS, ALMAFUERTE, BO. UNIVERSITARIO</v>
          </cell>
          <cell r="I52" t="str">
            <v>RENOVACION DE AºAº Y CALEFACCION - PREAA 2011 - GRUPO F</v>
          </cell>
          <cell r="J52">
            <v>3890250</v>
          </cell>
          <cell r="K52">
            <v>4048887.3</v>
          </cell>
          <cell r="L52">
            <v>4.0778176209755088E-2</v>
          </cell>
          <cell r="M52">
            <v>40830</v>
          </cell>
          <cell r="N52">
            <v>0.47916666666666669</v>
          </cell>
          <cell r="O52">
            <v>200</v>
          </cell>
          <cell r="P52" t="str">
            <v>BRV Instalaciones Termomecánicas SRL</v>
          </cell>
          <cell r="Q52">
            <v>40981</v>
          </cell>
          <cell r="T52">
            <v>40981</v>
          </cell>
          <cell r="U52">
            <v>90</v>
          </cell>
          <cell r="Y52">
            <v>41226</v>
          </cell>
          <cell r="Z52">
            <v>41246</v>
          </cell>
          <cell r="AA52">
            <v>41976</v>
          </cell>
          <cell r="AC52">
            <v>64033</v>
          </cell>
          <cell r="AQ52" t="str">
            <v>Obra con provisoria y en garantía. Con fecha 08/03/13 se eleva amp de plazo y multa</v>
          </cell>
        </row>
        <row r="53">
          <cell r="C53">
            <v>44461</v>
          </cell>
          <cell r="D53">
            <v>102026</v>
          </cell>
          <cell r="E53" t="str">
            <v>Licitación Pública</v>
          </cell>
          <cell r="F53">
            <v>4456</v>
          </cell>
          <cell r="G53" t="str">
            <v>RIZZARDI</v>
          </cell>
          <cell r="H53" t="str">
            <v>SUCURSALES VARIAS</v>
          </cell>
          <cell r="I53" t="str">
            <v>PROVISIÓN E INSTALACIÓN DE BIENES DE SEGURIDAD</v>
          </cell>
          <cell r="J53">
            <v>1161900</v>
          </cell>
          <cell r="K53">
            <v>1278090</v>
          </cell>
          <cell r="L53">
            <v>0.1</v>
          </cell>
          <cell r="M53">
            <v>40850</v>
          </cell>
          <cell r="N53">
            <v>0.52083333333333337</v>
          </cell>
          <cell r="O53">
            <v>200</v>
          </cell>
          <cell r="P53" t="str">
            <v>LA GUARDIANA SAICI</v>
          </cell>
          <cell r="Q53">
            <v>40939</v>
          </cell>
          <cell r="T53">
            <v>40941</v>
          </cell>
          <cell r="U53">
            <v>60</v>
          </cell>
          <cell r="Y53">
            <v>41003</v>
          </cell>
          <cell r="Z53">
            <v>41003</v>
          </cell>
          <cell r="AA53">
            <v>41183</v>
          </cell>
          <cell r="AB53">
            <v>41304</v>
          </cell>
          <cell r="AC53">
            <v>205200</v>
          </cell>
          <cell r="AQ53" t="str">
            <v>Obra con definitiva - con fecha 28/5/13 vto gtia adicionales</v>
          </cell>
        </row>
        <row r="54">
          <cell r="C54">
            <v>44464</v>
          </cell>
          <cell r="D54">
            <v>102924</v>
          </cell>
          <cell r="E54" t="str">
            <v>Licitación Pública</v>
          </cell>
          <cell r="F54">
            <v>4458</v>
          </cell>
          <cell r="G54" t="str">
            <v>RIZZARDI</v>
          </cell>
          <cell r="H54" t="str">
            <v>DEPARTAMENTAL MAR DEL PLATA</v>
          </cell>
          <cell r="I54" t="str">
            <v>MODERNIZACION DE  LOS TRES ASCENSORES DE LA TORRE 11,12 Y 13 Y DEL ASCENSOR DE CAJA DE SEGURIDAD</v>
          </cell>
          <cell r="J54">
            <v>1372000</v>
          </cell>
          <cell r="K54">
            <v>1564308</v>
          </cell>
          <cell r="L54">
            <v>0.14016618075801746</v>
          </cell>
          <cell r="M54">
            <v>40904</v>
          </cell>
          <cell r="N54">
            <v>0.5</v>
          </cell>
          <cell r="O54">
            <v>200</v>
          </cell>
          <cell r="P54" t="str">
            <v>MALDATEC S.A.</v>
          </cell>
          <cell r="Q54">
            <v>40996</v>
          </cell>
          <cell r="T54">
            <v>41053</v>
          </cell>
          <cell r="U54">
            <v>240</v>
          </cell>
          <cell r="Y54">
            <v>41323</v>
          </cell>
          <cell r="AQ54" t="str">
            <v xml:space="preserve">EN EJECUCION. Con fecha 11/03/13 se soicitan novedades de finalización de obra. Con fecha 27/03/2013 se envian todos los tomos a Planeamiento por pedido de esa dependencia </v>
          </cell>
        </row>
        <row r="55">
          <cell r="C55">
            <v>44521</v>
          </cell>
          <cell r="D55">
            <v>105293</v>
          </cell>
          <cell r="E55" t="str">
            <v>Licitación Pública</v>
          </cell>
          <cell r="F55">
            <v>4479</v>
          </cell>
          <cell r="G55" t="str">
            <v>FORCINITI</v>
          </cell>
          <cell r="H55" t="str">
            <v>SUCURSAL CALLAO</v>
          </cell>
          <cell r="I55" t="str">
            <v>TRABAJOS DE REMODELACIÓN</v>
          </cell>
          <cell r="J55">
            <v>4696429.38</v>
          </cell>
          <cell r="K55">
            <v>5080619</v>
          </cell>
          <cell r="L55">
            <v>8.1804619832269332E-2</v>
          </cell>
          <cell r="M55">
            <v>40984</v>
          </cell>
          <cell r="N55">
            <v>0.5</v>
          </cell>
          <cell r="O55">
            <v>200</v>
          </cell>
          <cell r="P55" t="str">
            <v>COMEXIM ARGENTINA S.A.</v>
          </cell>
          <cell r="Q55">
            <v>41144</v>
          </cell>
          <cell r="T55">
            <v>41177</v>
          </cell>
          <cell r="U55">
            <v>150</v>
          </cell>
          <cell r="Y55">
            <v>41327</v>
          </cell>
          <cell r="AQ55" t="str">
            <v>EN EJECUCION. Con fecha 09/01/13 se solicitan novedades de obra. Con fecha 13/02/13 se solicita estado de situacion actual de la obra</v>
          </cell>
        </row>
        <row r="56">
          <cell r="C56">
            <v>44523</v>
          </cell>
          <cell r="D56">
            <v>104483</v>
          </cell>
          <cell r="E56" t="str">
            <v>Licitación Pública</v>
          </cell>
          <cell r="F56">
            <v>4480</v>
          </cell>
          <cell r="G56" t="str">
            <v>FERNANDEZ</v>
          </cell>
          <cell r="H56" t="str">
            <v>SUCURSAL MERCEDES</v>
          </cell>
          <cell r="I56" t="str">
            <v>TRABAJOS DE REMODELACIÓN</v>
          </cell>
          <cell r="J56">
            <v>4536100</v>
          </cell>
          <cell r="K56">
            <v>4313831.0999999996</v>
          </cell>
          <cell r="L56">
            <v>-4.9000000000000196E-2</v>
          </cell>
          <cell r="M56">
            <v>40984</v>
          </cell>
          <cell r="N56">
            <v>0.54166666666666663</v>
          </cell>
          <cell r="O56">
            <v>200</v>
          </cell>
          <cell r="P56" t="str">
            <v>CONSTRUCTORA PREMART SRL</v>
          </cell>
          <cell r="Q56">
            <v>41089</v>
          </cell>
          <cell r="T56">
            <v>41128</v>
          </cell>
          <cell r="U56">
            <v>150</v>
          </cell>
          <cell r="Y56">
            <v>41313</v>
          </cell>
          <cell r="AQ56" t="str">
            <v>EN EJECUCION. Con fecha 07/01/13 se solicitan novedades de obra y la evaluacion de los pedidos de amp de plazo, se reitera el 23/01/13. Con fecha 30/01/13 se solicita estado de situacion de la obra. Con fecha 16/04/13 se eleva ampliación de plazo. Con fec</v>
          </cell>
        </row>
        <row r="57">
          <cell r="C57">
            <v>44527</v>
          </cell>
          <cell r="D57">
            <v>104468</v>
          </cell>
          <cell r="E57" t="str">
            <v xml:space="preserve">Licitación Pública </v>
          </cell>
          <cell r="F57">
            <v>4481</v>
          </cell>
          <cell r="G57" t="str">
            <v>TORRES</v>
          </cell>
          <cell r="H57" t="str">
            <v xml:space="preserve">SUCURSALES VARIAS DE CAPITAL FEDERAL </v>
          </cell>
          <cell r="I57" t="str">
            <v xml:space="preserve">REEMPLAZO DE ELEMENTOS DEL SISTEMA DE ALARMA ELECTRONICA </v>
          </cell>
          <cell r="J57">
            <v>1002810</v>
          </cell>
          <cell r="K57">
            <v>1153231.5</v>
          </cell>
          <cell r="L57">
            <v>0.15</v>
          </cell>
          <cell r="M57">
            <v>41024</v>
          </cell>
          <cell r="N57">
            <v>0.5</v>
          </cell>
          <cell r="O57">
            <v>200</v>
          </cell>
          <cell r="P57" t="str">
            <v>TYSSE S.A.</v>
          </cell>
          <cell r="Q57">
            <v>41086</v>
          </cell>
          <cell r="T57">
            <v>41093</v>
          </cell>
          <cell r="U57">
            <v>120</v>
          </cell>
          <cell r="Y57">
            <v>41320</v>
          </cell>
          <cell r="AC57">
            <v>9522.5</v>
          </cell>
          <cell r="AQ57" t="str">
            <v>EN EJECUCION. Con fecha 13/03/13 se consulta estado de situación de la obra y evaluación de reservas de plazo</v>
          </cell>
        </row>
        <row r="58">
          <cell r="C58">
            <v>44529</v>
          </cell>
          <cell r="D58">
            <v>106319</v>
          </cell>
          <cell r="E58" t="str">
            <v>Licitación Pública</v>
          </cell>
          <cell r="F58">
            <v>4482</v>
          </cell>
          <cell r="G58" t="str">
            <v>FORCINITI</v>
          </cell>
          <cell r="H58" t="str">
            <v>SUCURSAL GENERAL VILLEGAS</v>
          </cell>
          <cell r="I58" t="str">
            <v>TRABAJOS DE REMODELACIÓN</v>
          </cell>
          <cell r="J58">
            <v>5087411.95</v>
          </cell>
          <cell r="K58">
            <v>4960226.6500000004</v>
          </cell>
          <cell r="L58">
            <v>-2.5000000245704399E-2</v>
          </cell>
          <cell r="M58">
            <v>40996</v>
          </cell>
          <cell r="N58">
            <v>0.5</v>
          </cell>
          <cell r="O58">
            <v>200</v>
          </cell>
          <cell r="P58" t="str">
            <v>CONSTRUCTORA PREMART SRL</v>
          </cell>
          <cell r="Q58">
            <v>41193</v>
          </cell>
          <cell r="T58">
            <v>41228</v>
          </cell>
          <cell r="U58">
            <v>150</v>
          </cell>
          <cell r="Y58">
            <v>41378</v>
          </cell>
          <cell r="AQ58" t="str">
            <v>EN EJECUCION. Con fecha 07/02/13 se reciben ordenes de servicio. Con fecha 15/4/13 se consulta estado de obra. Tomos 11, 12 y pagos en planeamiento</v>
          </cell>
        </row>
        <row r="59">
          <cell r="C59">
            <v>44534</v>
          </cell>
          <cell r="E59" t="str">
            <v>Licitación Pública</v>
          </cell>
          <cell r="F59">
            <v>4484</v>
          </cell>
          <cell r="G59" t="str">
            <v>GLUJ</v>
          </cell>
          <cell r="H59" t="str">
            <v>SUCURSAL CABALLITO</v>
          </cell>
          <cell r="I59" t="str">
            <v>TRABAJOS DE REMODELACIÓN</v>
          </cell>
          <cell r="J59">
            <v>5839505</v>
          </cell>
          <cell r="L59" t="str">
            <v/>
          </cell>
          <cell r="M59">
            <v>41208</v>
          </cell>
          <cell r="N59">
            <v>0.52083333333333337</v>
          </cell>
          <cell r="O59">
            <v>200</v>
          </cell>
          <cell r="P59" t="str">
            <v>INF DE SELECCIÓN</v>
          </cell>
          <cell r="U59">
            <v>180</v>
          </cell>
          <cell r="AQ59" t="str">
            <v>Con fecha 15/02/2013 se envía a Contaduria y Gcia Gral para aprobacion informe de selección. Con fecha 28,02,2013 salen Cd´s de selección</v>
          </cell>
        </row>
        <row r="60">
          <cell r="C60">
            <v>44543</v>
          </cell>
          <cell r="D60">
            <v>105343</v>
          </cell>
          <cell r="E60" t="str">
            <v>Licitación Pública</v>
          </cell>
          <cell r="F60">
            <v>4489</v>
          </cell>
          <cell r="G60" t="str">
            <v>RIZZARDI</v>
          </cell>
          <cell r="H60" t="str">
            <v>SUCURSAL Nº 2, RIOBAMBA</v>
          </cell>
          <cell r="I60" t="str">
            <v>BLINDAJE DE PISO Y MURO DE BÓVEDA DE CAJAS DE SEGURIDAD PARA ALQUILER Y TAREAS COMPLEMENTARIAS</v>
          </cell>
          <cell r="J60">
            <v>3380000</v>
          </cell>
          <cell r="K60">
            <v>3718000</v>
          </cell>
          <cell r="L60">
            <v>0.1</v>
          </cell>
          <cell r="M60">
            <v>41019</v>
          </cell>
          <cell r="N60">
            <v>0.52083333333333337</v>
          </cell>
          <cell r="O60">
            <v>200</v>
          </cell>
          <cell r="P60" t="str">
            <v xml:space="preserve">METALURGICA OLIVA HNOS. </v>
          </cell>
          <cell r="Q60">
            <v>41148</v>
          </cell>
          <cell r="T60">
            <v>41152</v>
          </cell>
          <cell r="U60">
            <v>30</v>
          </cell>
          <cell r="Y60">
            <v>41182</v>
          </cell>
          <cell r="Z60">
            <v>41165</v>
          </cell>
          <cell r="AA60">
            <v>41345</v>
          </cell>
          <cell r="AB60">
            <v>41345</v>
          </cell>
          <cell r="AQ60" t="str">
            <v xml:space="preserve">Obra con Definitiva </v>
          </cell>
        </row>
        <row r="61">
          <cell r="C61">
            <v>44546</v>
          </cell>
          <cell r="D61">
            <v>105473</v>
          </cell>
          <cell r="E61" t="str">
            <v>Licitación Pública</v>
          </cell>
          <cell r="F61">
            <v>4490</v>
          </cell>
          <cell r="G61" t="str">
            <v>CARTOCHIO</v>
          </cell>
          <cell r="H61" t="str">
            <v>SUCURSAL VILLA ADELINA</v>
          </cell>
          <cell r="I61" t="str">
            <v>TRABAJOS DE REMODELACIÓN</v>
          </cell>
          <cell r="J61">
            <v>2754000</v>
          </cell>
          <cell r="K61">
            <v>2586006</v>
          </cell>
          <cell r="L61">
            <v>-6.0999999999999943E-2</v>
          </cell>
          <cell r="M61">
            <v>41011</v>
          </cell>
          <cell r="N61">
            <v>0.47916666666666669</v>
          </cell>
          <cell r="O61">
            <v>200</v>
          </cell>
          <cell r="P61" t="str">
            <v>ILP INGENIERIA Y CONSTRUCCIONES SA</v>
          </cell>
          <cell r="Q61">
            <v>41152</v>
          </cell>
          <cell r="T61">
            <v>41177</v>
          </cell>
          <cell r="U61">
            <v>150</v>
          </cell>
          <cell r="Y61">
            <v>41327</v>
          </cell>
          <cell r="AQ61" t="str">
            <v>EN EJECUCION. Con fecha 21/01/13 se solicitan novedades de avance de obra. Se reitera el 19/02/2013, 26/02/2013,14/03/2013 y el 05/04/2013</v>
          </cell>
        </row>
        <row r="62">
          <cell r="C62">
            <v>44547</v>
          </cell>
          <cell r="D62">
            <v>108052</v>
          </cell>
          <cell r="E62" t="str">
            <v>Licitación Pública</v>
          </cell>
          <cell r="F62">
            <v>4492</v>
          </cell>
          <cell r="G62" t="str">
            <v>FERNANDEZ</v>
          </cell>
          <cell r="H62" t="str">
            <v>SUCURSAL SAN MIGUEL</v>
          </cell>
          <cell r="I62" t="str">
            <v>TRABAJOS DE REMODELACIÓN</v>
          </cell>
          <cell r="J62">
            <v>5363503.37</v>
          </cell>
          <cell r="K62">
            <v>5077628.6399999997</v>
          </cell>
          <cell r="L62">
            <v>-5.3300000070662892E-2</v>
          </cell>
          <cell r="M62">
            <v>41011</v>
          </cell>
          <cell r="N62">
            <v>0.5625</v>
          </cell>
          <cell r="O62">
            <v>200</v>
          </cell>
          <cell r="P62" t="str">
            <v>ZOLMACO S.A.</v>
          </cell>
          <cell r="Q62">
            <v>41313</v>
          </cell>
          <cell r="T62">
            <v>41334</v>
          </cell>
          <cell r="U62">
            <v>150</v>
          </cell>
          <cell r="Y62">
            <v>41484</v>
          </cell>
          <cell r="AQ62" t="str">
            <v>EN EJECUCION</v>
          </cell>
        </row>
        <row r="63">
          <cell r="C63">
            <v>44548</v>
          </cell>
          <cell r="D63">
            <v>105189</v>
          </cell>
          <cell r="E63" t="str">
            <v>Licitación Pública</v>
          </cell>
          <cell r="F63">
            <v>4493</v>
          </cell>
          <cell r="G63" t="str">
            <v>TORRES</v>
          </cell>
          <cell r="H63" t="str">
            <v>SUCURSAL FLORENCIO VARELA</v>
          </cell>
          <cell r="I63" t="str">
            <v>TRABAJOS DE REMODELACIÓN</v>
          </cell>
          <cell r="J63">
            <v>3285700</v>
          </cell>
          <cell r="K63">
            <v>3055701</v>
          </cell>
          <cell r="L63">
            <v>-7.0000000000000007E-2</v>
          </cell>
          <cell r="M63">
            <v>41019</v>
          </cell>
          <cell r="N63">
            <v>0.5625</v>
          </cell>
          <cell r="O63">
            <v>200</v>
          </cell>
          <cell r="P63" t="str">
            <v>ILP INGENIERIA Y CONSTRUCCIONES SA</v>
          </cell>
          <cell r="Q63">
            <v>41131</v>
          </cell>
          <cell r="T63">
            <v>41162</v>
          </cell>
          <cell r="U63">
            <v>150</v>
          </cell>
          <cell r="Y63">
            <v>41312</v>
          </cell>
          <cell r="AQ63" t="str">
            <v>EN EJECUCION.Con fecha 22/02/13 se consulta sobre el estado de la obra. Con fecha 08/04/13 se reciben OS N° 1 a 8 e informe de plazos para elevar</v>
          </cell>
        </row>
        <row r="64">
          <cell r="C64">
            <v>44551</v>
          </cell>
          <cell r="D64">
            <v>105320</v>
          </cell>
          <cell r="E64" t="str">
            <v>Licitación Pública</v>
          </cell>
          <cell r="F64">
            <v>4495</v>
          </cell>
          <cell r="G64" t="str">
            <v>CARTOCHIO</v>
          </cell>
          <cell r="H64" t="str">
            <v>SUCURSAL COLÓN, SAN NICOLAS, GRAL. SAVIO, SAN ANTONIO DE ARECO Y GRAL. PINTO.</v>
          </cell>
          <cell r="I64" t="str">
            <v>RENOVACION DE AºAº Y CALEFACCION - PREAA 2011 - GRUPO G</v>
          </cell>
          <cell r="J64">
            <v>4453220</v>
          </cell>
          <cell r="K64">
            <v>4837937.5</v>
          </cell>
          <cell r="L64">
            <v>8.6390858749399377E-2</v>
          </cell>
          <cell r="M64">
            <v>41044</v>
          </cell>
          <cell r="N64">
            <v>0.5</v>
          </cell>
          <cell r="O64">
            <v>200</v>
          </cell>
          <cell r="P64" t="str">
            <v>AIR CENTER S.R.L.</v>
          </cell>
          <cell r="Q64">
            <v>41142</v>
          </cell>
          <cell r="T64">
            <v>41215</v>
          </cell>
          <cell r="U64">
            <v>120</v>
          </cell>
          <cell r="Y64">
            <v>41410</v>
          </cell>
          <cell r="AQ64" t="str">
            <v>EN EJECUCION. Con fecha 04/03/13 se consulta novedades de avance de obra, se reitera el 05/04/2013. Con fecha 11/04/13 se eleva informe de amp de plazo</v>
          </cell>
        </row>
        <row r="65">
          <cell r="C65">
            <v>44552</v>
          </cell>
          <cell r="D65">
            <v>104828</v>
          </cell>
          <cell r="E65" t="str">
            <v>Licitación Pública</v>
          </cell>
          <cell r="F65">
            <v>4497</v>
          </cell>
          <cell r="G65" t="str">
            <v>FERNANDEZ</v>
          </cell>
          <cell r="H65" t="str">
            <v>SUCURSALES VARIAS Y NUEVAS LOCALIZACIONES</v>
          </cell>
          <cell r="I65" t="str">
            <v>DESCONEXIÓN, PROVISIÓN, INSTALACIÓN E INERCONEXIONADO DE LOS SISTEMAS DE ALARMA ELECTRÓNICA</v>
          </cell>
          <cell r="J65">
            <v>1208226</v>
          </cell>
          <cell r="K65">
            <v>1329048.6000000001</v>
          </cell>
          <cell r="L65">
            <v>0.10000000000000014</v>
          </cell>
          <cell r="M65">
            <v>41036</v>
          </cell>
          <cell r="N65">
            <v>0.5</v>
          </cell>
          <cell r="O65">
            <v>200</v>
          </cell>
          <cell r="P65" t="str">
            <v>DELTA COMUNICACIONES S.R.L.</v>
          </cell>
          <cell r="Q65">
            <v>41110</v>
          </cell>
          <cell r="T65">
            <v>41117</v>
          </cell>
          <cell r="U65">
            <v>180</v>
          </cell>
          <cell r="Y65">
            <v>41297</v>
          </cell>
          <cell r="AQ65" t="str">
            <v xml:space="preserve">EN EJECUCION. Con fecha 06/02/13 se solicitan novedades de finalizacion de obra. Con fecha 10/04/13 se recibe informe de adicionales </v>
          </cell>
        </row>
        <row r="66">
          <cell r="C66">
            <v>44561</v>
          </cell>
          <cell r="D66">
            <v>106690</v>
          </cell>
          <cell r="E66" t="str">
            <v xml:space="preserve">Licitación Pública </v>
          </cell>
          <cell r="F66">
            <v>4501</v>
          </cell>
          <cell r="G66" t="str">
            <v>FERNANDEZ</v>
          </cell>
          <cell r="H66" t="str">
            <v xml:space="preserve">SUCURSALES VARIAS ZONA BAHIA BLANCA </v>
          </cell>
          <cell r="I66" t="str">
            <v>ADECUACION DE BANCAS ELECTRONICAS - GRUPO 13</v>
          </cell>
          <cell r="J66">
            <v>2038777</v>
          </cell>
          <cell r="K66">
            <v>438305.14</v>
          </cell>
          <cell r="L66">
            <v>-0.09</v>
          </cell>
          <cell r="M66">
            <v>41104</v>
          </cell>
          <cell r="N66" t="str">
            <v>12.00</v>
          </cell>
          <cell r="O66">
            <v>200</v>
          </cell>
          <cell r="P66" t="str">
            <v>NCR SRL (ITEM 1)</v>
          </cell>
          <cell r="Q66">
            <v>41215</v>
          </cell>
          <cell r="T66">
            <v>41260</v>
          </cell>
          <cell r="U66">
            <v>90</v>
          </cell>
          <cell r="Y66">
            <v>41350</v>
          </cell>
          <cell r="AQ66" t="str">
            <v>Obra paralizada desde el 17/12/2012por falta de sereno. S reinicia el 29,01,2013</v>
          </cell>
        </row>
        <row r="67">
          <cell r="D67">
            <v>106691</v>
          </cell>
          <cell r="K67">
            <v>521743.5</v>
          </cell>
          <cell r="L67">
            <v>-0.1</v>
          </cell>
          <cell r="P67" t="str">
            <v>NCR SRL (ITEM 2)</v>
          </cell>
          <cell r="T67">
            <v>41260</v>
          </cell>
          <cell r="Y67">
            <v>41350</v>
          </cell>
          <cell r="AQ67" t="str">
            <v>Obra paralizada desde el 17/12/2012 por falta de sereno</v>
          </cell>
        </row>
        <row r="68">
          <cell r="D68">
            <v>106692</v>
          </cell>
          <cell r="K68">
            <v>521104.82</v>
          </cell>
          <cell r="L68">
            <v>-0.01</v>
          </cell>
          <cell r="P68" t="str">
            <v>SBAICSE S.A. (ITEM 3)</v>
          </cell>
          <cell r="T68">
            <v>41254</v>
          </cell>
          <cell r="Y68">
            <v>41359</v>
          </cell>
          <cell r="AC68">
            <v>40209.1</v>
          </cell>
          <cell r="AQ68" t="str">
            <v>EN EJECUCION. Con fecha 15/04/13 se envia a administracion y contaduria adicional y amp de plazo</v>
          </cell>
        </row>
        <row r="69">
          <cell r="D69">
            <v>106693</v>
          </cell>
          <cell r="K69">
            <v>446529.6</v>
          </cell>
          <cell r="L69">
            <v>-0.01</v>
          </cell>
          <cell r="P69" t="str">
            <v>SBAICSE S.A. (ITEM 4)</v>
          </cell>
          <cell r="T69">
            <v>41254</v>
          </cell>
          <cell r="Y69">
            <v>41364</v>
          </cell>
          <cell r="AC69">
            <v>125175.38</v>
          </cell>
          <cell r="AE69">
            <v>12474</v>
          </cell>
          <cell r="AQ69" t="str">
            <v>EN EJECUCION. Con fecha 15/04/13 se envia a administracion y contaduria adicional y amp de plazo</v>
          </cell>
        </row>
        <row r="70">
          <cell r="C70">
            <v>44565</v>
          </cell>
          <cell r="D70">
            <v>106722</v>
          </cell>
          <cell r="E70" t="str">
            <v>Licitación Pública</v>
          </cell>
          <cell r="F70">
            <v>4502</v>
          </cell>
          <cell r="G70" t="str">
            <v>FORCINITI</v>
          </cell>
          <cell r="H70" t="str">
            <v>SUCURSAL EL PALOMAR</v>
          </cell>
          <cell r="I70" t="str">
            <v>TRABAJOS DE REMODELACIÓN</v>
          </cell>
          <cell r="J70">
            <v>3162120</v>
          </cell>
          <cell r="K70">
            <v>2833643.89</v>
          </cell>
          <cell r="L70">
            <v>-0.1038784454732901</v>
          </cell>
          <cell r="M70">
            <v>41067</v>
          </cell>
          <cell r="N70">
            <v>0.5</v>
          </cell>
          <cell r="O70">
            <v>200</v>
          </cell>
          <cell r="P70" t="str">
            <v>COMEXIM ARGENTINA S.A.</v>
          </cell>
          <cell r="Q70">
            <v>41222</v>
          </cell>
          <cell r="T70">
            <v>41276</v>
          </cell>
          <cell r="U70">
            <v>150</v>
          </cell>
          <cell r="Y70">
            <v>41426</v>
          </cell>
          <cell r="AQ70" t="str">
            <v>EN EJECUCION. Con fecha 05/04/13 se recibe informe de incumplimiento de ordenes de servicio y reserva de ampliación de plazo</v>
          </cell>
        </row>
        <row r="71">
          <cell r="C71">
            <v>44566</v>
          </cell>
          <cell r="D71">
            <v>106838</v>
          </cell>
          <cell r="E71" t="str">
            <v>Licitación Pública</v>
          </cell>
          <cell r="F71">
            <v>4503</v>
          </cell>
          <cell r="G71" t="str">
            <v>FERNANDEZ</v>
          </cell>
          <cell r="H71" t="str">
            <v>SUCURSAL BOULOGNE SUR MER</v>
          </cell>
          <cell r="I71" t="str">
            <v>TRABAJOS DE REMODELACION</v>
          </cell>
          <cell r="J71">
            <v>2769826</v>
          </cell>
          <cell r="K71">
            <v>2490073.5699999998</v>
          </cell>
          <cell r="L71">
            <v>-0.10100000144413414</v>
          </cell>
          <cell r="M71">
            <v>41074</v>
          </cell>
          <cell r="N71" t="str">
            <v>13.00</v>
          </cell>
          <cell r="O71">
            <v>200</v>
          </cell>
          <cell r="P71" t="str">
            <v>PERFILARTE S.A.</v>
          </cell>
          <cell r="Q71">
            <v>41222</v>
          </cell>
          <cell r="T71">
            <v>41281</v>
          </cell>
          <cell r="U71">
            <v>150</v>
          </cell>
          <cell r="Y71">
            <v>41430</v>
          </cell>
          <cell r="AQ71" t="str">
            <v>EN EJECUCION</v>
          </cell>
        </row>
        <row r="72">
          <cell r="C72">
            <v>44567</v>
          </cell>
          <cell r="D72">
            <v>106786</v>
          </cell>
          <cell r="E72" t="str">
            <v>Licitación Pública</v>
          </cell>
          <cell r="F72">
            <v>4504</v>
          </cell>
          <cell r="G72" t="str">
            <v>FERNANDEZ</v>
          </cell>
          <cell r="H72" t="str">
            <v>SUCURSALES VARIAS - ZONAS MORÓN Y OLIVOS</v>
          </cell>
          <cell r="I72" t="str">
            <v>ADECUACIÓN DE LOBBY PARA CAJEROS AUTOMÁTICOS</v>
          </cell>
          <cell r="J72">
            <v>1210250</v>
          </cell>
          <cell r="K72">
            <v>412207.26</v>
          </cell>
          <cell r="M72">
            <v>41096</v>
          </cell>
          <cell r="N72">
            <v>0.5</v>
          </cell>
          <cell r="O72">
            <v>200</v>
          </cell>
          <cell r="P72" t="str">
            <v>SBAICSE S.A. (ITEM 1 y 3)</v>
          </cell>
          <cell r="Q72">
            <v>41226</v>
          </cell>
          <cell r="U72">
            <v>60</v>
          </cell>
          <cell r="AQ72" t="str">
            <v>23/11/2012 personal autorizado para el inicio. Con fecha 11/12/12, 02/01/13, 14/01/13 y 13/02/13 se reclama acta de inicio</v>
          </cell>
        </row>
        <row r="73">
          <cell r="D73">
            <v>106788</v>
          </cell>
          <cell r="K73">
            <v>283210.2</v>
          </cell>
        </row>
        <row r="74">
          <cell r="D74">
            <v>106779</v>
          </cell>
          <cell r="K74">
            <v>201343.12</v>
          </cell>
          <cell r="P74" t="str">
            <v>NCR SRL (ITEMS 2 y 4)</v>
          </cell>
          <cell r="Q74">
            <v>41226</v>
          </cell>
          <cell r="AQ74" t="str">
            <v>27/11/2012 personal autorizado para el inicio. Con fecha 11/12/12, 28/12/12, 11/01/13 y 13/02/13 se reclama acta de inicio</v>
          </cell>
        </row>
        <row r="75">
          <cell r="D75">
            <v>106783</v>
          </cell>
          <cell r="K75">
            <v>247371.45</v>
          </cell>
        </row>
        <row r="76">
          <cell r="C76">
            <v>44570</v>
          </cell>
          <cell r="D76">
            <v>106082</v>
          </cell>
          <cell r="E76" t="str">
            <v>Licitación Pública</v>
          </cell>
          <cell r="F76">
            <v>4507</v>
          </cell>
          <cell r="G76" t="str">
            <v>CARTOCHIO</v>
          </cell>
          <cell r="H76" t="str">
            <v>SUCURSAL VILLA MAIPÚ</v>
          </cell>
          <cell r="I76" t="str">
            <v>TRABAJOS DE REMODELACIÓN</v>
          </cell>
          <cell r="J76">
            <v>3314461.75</v>
          </cell>
          <cell r="K76">
            <v>2956499.88</v>
          </cell>
          <cell r="L76">
            <v>-0.10800000030170807</v>
          </cell>
          <cell r="M76">
            <v>41088</v>
          </cell>
          <cell r="N76">
            <v>0.5625</v>
          </cell>
          <cell r="O76">
            <v>200</v>
          </cell>
          <cell r="P76" t="str">
            <v>URBATEC CONSTRUCCIONES Y SERVICIOS S.R.L.</v>
          </cell>
          <cell r="Q76">
            <v>41179</v>
          </cell>
          <cell r="U76">
            <v>150</v>
          </cell>
          <cell r="AQ76" t="str">
            <v>Vto inicio: 10/10/12. inconvenientes con la aprobación municipal del proyecto). Se solicitan novedades SOBRE EL ESTADO DE SITUACION 13/02/2013. Se solicitan novedades el 18/02/13, 19/03/2013 y el 18/04/2013</v>
          </cell>
        </row>
        <row r="77">
          <cell r="C77">
            <v>44574</v>
          </cell>
          <cell r="D77">
            <v>105893</v>
          </cell>
          <cell r="E77" t="str">
            <v>Licitación Pública</v>
          </cell>
          <cell r="F77">
            <v>4509</v>
          </cell>
          <cell r="G77" t="str">
            <v>TORRES</v>
          </cell>
          <cell r="H77" t="str">
            <v>SUCURSAL LINCOLN</v>
          </cell>
          <cell r="I77" t="str">
            <v>TRABAJOS DE REMODELACIÓN</v>
          </cell>
          <cell r="J77">
            <v>4365722.82</v>
          </cell>
          <cell r="K77">
            <v>3899027.05</v>
          </cell>
          <cell r="L77">
            <v>-0.10690000012414899</v>
          </cell>
          <cell r="M77">
            <v>41085</v>
          </cell>
          <cell r="N77">
            <v>0.52083333333333337</v>
          </cell>
          <cell r="O77">
            <v>200</v>
          </cell>
          <cell r="P77" t="str">
            <v>ZOLMACO S.A.</v>
          </cell>
          <cell r="Q77">
            <v>41173</v>
          </cell>
          <cell r="T77">
            <v>41213</v>
          </cell>
          <cell r="U77">
            <v>150</v>
          </cell>
          <cell r="Y77">
            <v>41363</v>
          </cell>
          <cell r="AQ77" t="str">
            <v xml:space="preserve">EN EJECUCION. Con fecha 12.04.13 se solicita informe de plazos </v>
          </cell>
        </row>
        <row r="78">
          <cell r="C78">
            <v>44582</v>
          </cell>
          <cell r="D78">
            <v>106242</v>
          </cell>
          <cell r="E78" t="str">
            <v>Licitación Pública</v>
          </cell>
          <cell r="F78">
            <v>4511</v>
          </cell>
          <cell r="G78" t="str">
            <v>TORRES</v>
          </cell>
          <cell r="H78" t="str">
            <v>SUCURSAL BERNAL</v>
          </cell>
          <cell r="I78" t="str">
            <v>TRABAJOS DE REMODELACIÓN</v>
          </cell>
          <cell r="J78">
            <v>2455694</v>
          </cell>
          <cell r="K78">
            <v>2190479.0499999998</v>
          </cell>
          <cell r="L78">
            <v>-0.13769999999999999</v>
          </cell>
          <cell r="M78">
            <v>41088</v>
          </cell>
          <cell r="N78">
            <v>0.5</v>
          </cell>
          <cell r="O78">
            <v>200</v>
          </cell>
          <cell r="P78" t="str">
            <v>URBATEC CONSTRUCCIONES Y SERVICIOS S.R.L.</v>
          </cell>
          <cell r="Q78">
            <v>41187</v>
          </cell>
          <cell r="T78">
            <v>41232</v>
          </cell>
          <cell r="U78">
            <v>150</v>
          </cell>
          <cell r="Y78">
            <v>41405</v>
          </cell>
          <cell r="AC78">
            <v>30069.97</v>
          </cell>
          <cell r="AQ78" t="str">
            <v xml:space="preserve">EN EJECUCION. </v>
          </cell>
        </row>
        <row r="79">
          <cell r="C79">
            <v>44590</v>
          </cell>
          <cell r="D79">
            <v>107017</v>
          </cell>
          <cell r="E79" t="str">
            <v>Licitación Pública</v>
          </cell>
          <cell r="F79">
            <v>4512</v>
          </cell>
          <cell r="G79" t="str">
            <v>RIZZARDI</v>
          </cell>
          <cell r="H79" t="str">
            <v>SUCURSAL BRAGADO</v>
          </cell>
          <cell r="I79" t="str">
            <v>TRABAJOS DE REMODELACIÓN</v>
          </cell>
          <cell r="J79">
            <v>5327207.6500000004</v>
          </cell>
          <cell r="K79">
            <v>4849357.12</v>
          </cell>
          <cell r="L79">
            <v>-8.9700000712380754E-2</v>
          </cell>
          <cell r="M79">
            <v>41096</v>
          </cell>
          <cell r="N79">
            <v>0.5625</v>
          </cell>
          <cell r="O79">
            <v>200</v>
          </cell>
          <cell r="P79" t="str">
            <v>ZOLMACO S.A.</v>
          </cell>
          <cell r="Q79">
            <v>41243</v>
          </cell>
          <cell r="T79">
            <v>41250</v>
          </cell>
          <cell r="U79">
            <v>150</v>
          </cell>
          <cell r="Y79">
            <v>41400</v>
          </cell>
          <cell r="AQ79" t="str">
            <v>EN EJECUCION</v>
          </cell>
        </row>
        <row r="80">
          <cell r="C80">
            <v>44593</v>
          </cell>
          <cell r="D80">
            <v>106469</v>
          </cell>
          <cell r="E80" t="str">
            <v xml:space="preserve">Licitación Pública </v>
          </cell>
          <cell r="F80">
            <v>4513</v>
          </cell>
          <cell r="G80" t="str">
            <v>RIZZARDI</v>
          </cell>
          <cell r="H80" t="str">
            <v xml:space="preserve">SUCURSALES VARIAS </v>
          </cell>
          <cell r="I80" t="str">
            <v xml:space="preserve">REPOTENCIADO DE BOVEDAS DE CAJAS DE SEGURIDAD </v>
          </cell>
          <cell r="J80">
            <v>10023200</v>
          </cell>
          <cell r="K80">
            <v>10825056</v>
          </cell>
          <cell r="L80">
            <v>0.08</v>
          </cell>
          <cell r="M80">
            <v>41131</v>
          </cell>
          <cell r="N80">
            <v>0.5</v>
          </cell>
          <cell r="O80">
            <v>200</v>
          </cell>
          <cell r="P80" t="str">
            <v xml:space="preserve">METALURGICA OLIVA HNOS. </v>
          </cell>
          <cell r="Q80">
            <v>41200</v>
          </cell>
          <cell r="T80">
            <v>41201</v>
          </cell>
          <cell r="U80">
            <v>90</v>
          </cell>
          <cell r="Y80">
            <v>41291</v>
          </cell>
          <cell r="Z80">
            <v>41249</v>
          </cell>
          <cell r="AA80">
            <v>41429</v>
          </cell>
          <cell r="AC80">
            <v>886464</v>
          </cell>
          <cell r="AQ80" t="str">
            <v>Obra con provisoria y en garantía</v>
          </cell>
        </row>
        <row r="81">
          <cell r="C81">
            <v>44598</v>
          </cell>
          <cell r="D81">
            <v>106469</v>
          </cell>
          <cell r="E81" t="str">
            <v>Licitación Pública</v>
          </cell>
          <cell r="F81">
            <v>4517</v>
          </cell>
          <cell r="G81" t="str">
            <v>URRETAVIZCAYA</v>
          </cell>
          <cell r="H81" t="str">
            <v>BAHÍA BLANCA CENTRO</v>
          </cell>
          <cell r="I81" t="str">
            <v>NUEVA UDN</v>
          </cell>
          <cell r="J81">
            <v>5746678</v>
          </cell>
          <cell r="L81" t="str">
            <v/>
          </cell>
          <cell r="M81">
            <v>41173</v>
          </cell>
          <cell r="N81">
            <v>0.47916666666666669</v>
          </cell>
          <cell r="O81">
            <v>200</v>
          </cell>
          <cell r="P81" t="str">
            <v>INF DE SELECCIÓN</v>
          </cell>
          <cell r="U81">
            <v>210</v>
          </cell>
          <cell r="AQ81" t="str">
            <v>Con fecha 15/02/2013 se envía a Contaduria y Gcia Gral para aprobacion informe de selección. Con fecha 28/02/2013 salen Cd´s de preseleccion</v>
          </cell>
        </row>
        <row r="82">
          <cell r="C82">
            <v>44599</v>
          </cell>
          <cell r="D82">
            <v>107016</v>
          </cell>
          <cell r="E82" t="str">
            <v>Licitación Pública</v>
          </cell>
          <cell r="F82">
            <v>4518</v>
          </cell>
          <cell r="G82" t="str">
            <v>CARTOCHIO</v>
          </cell>
          <cell r="H82" t="str">
            <v>ARCHIVO Y MUSEO HISTÓRICOS</v>
          </cell>
          <cell r="I82" t="str">
            <v>INSTALACIÓN DE ASCENSOR</v>
          </cell>
          <cell r="J82">
            <v>954146</v>
          </cell>
          <cell r="K82">
            <v>915980.16</v>
          </cell>
          <cell r="L82">
            <v>-0.04</v>
          </cell>
          <cell r="M82">
            <v>41127</v>
          </cell>
          <cell r="N82">
            <v>0.54166666666666663</v>
          </cell>
          <cell r="O82">
            <v>191</v>
          </cell>
          <cell r="P82" t="str">
            <v>MMZ S.A.</v>
          </cell>
          <cell r="Q82">
            <v>41242</v>
          </cell>
          <cell r="T82">
            <v>41284</v>
          </cell>
          <cell r="U82">
            <v>180</v>
          </cell>
          <cell r="Y82">
            <v>41464</v>
          </cell>
          <cell r="AQ82" t="str">
            <v>EN EJECUCION. Con fecha 30/01/13 se consulta sobre retraso en el inicio</v>
          </cell>
        </row>
        <row r="83">
          <cell r="C83">
            <v>44601</v>
          </cell>
          <cell r="E83" t="str">
            <v>Licitación Pública</v>
          </cell>
          <cell r="F83">
            <v>4521</v>
          </cell>
          <cell r="G83" t="str">
            <v>GLUJ</v>
          </cell>
          <cell r="H83" t="str">
            <v>SUCURSAL PALERMO</v>
          </cell>
          <cell r="I83" t="str">
            <v>TRABAJOS DE REMODELACIÓN</v>
          </cell>
          <cell r="J83">
            <v>4151707.52</v>
          </cell>
          <cell r="L83" t="str">
            <v/>
          </cell>
          <cell r="M83">
            <v>41207</v>
          </cell>
          <cell r="N83">
            <v>0.52083333333333337</v>
          </cell>
          <cell r="O83">
            <v>200</v>
          </cell>
          <cell r="P83" t="str">
            <v>INF DE SELECCIÓN</v>
          </cell>
          <cell r="U83">
            <v>150</v>
          </cell>
          <cell r="AQ83" t="str">
            <v>Con fecha 15/02/2013 se envía a Contaduria y Gcia Gral para aprobacion informe de selección. Con fecha 28/02/2013 salen Cd´s de selección</v>
          </cell>
        </row>
        <row r="84">
          <cell r="C84">
            <v>44608</v>
          </cell>
          <cell r="D84">
            <v>106715</v>
          </cell>
          <cell r="E84" t="str">
            <v>Licitación Pública</v>
          </cell>
          <cell r="F84">
            <v>4525</v>
          </cell>
          <cell r="G84" t="str">
            <v>RIZZARDI</v>
          </cell>
          <cell r="H84" t="str">
            <v>SUCURSAL PERGAMINO</v>
          </cell>
          <cell r="I84" t="str">
            <v>TRABAJOS DE REMODELACIÓN</v>
          </cell>
          <cell r="J84">
            <v>5538035.4000000004</v>
          </cell>
          <cell r="K84">
            <v>4700000</v>
          </cell>
          <cell r="L84">
            <v>-0.15132359031146678</v>
          </cell>
          <cell r="M84">
            <v>41136</v>
          </cell>
          <cell r="N84">
            <v>0.5</v>
          </cell>
          <cell r="O84">
            <v>200</v>
          </cell>
          <cell r="P84" t="str">
            <v>Agroservicios Viales SRL</v>
          </cell>
          <cell r="Q84">
            <v>41222</v>
          </cell>
          <cell r="T84">
            <v>41276</v>
          </cell>
          <cell r="U84">
            <v>150</v>
          </cell>
          <cell r="Y84">
            <v>41426</v>
          </cell>
          <cell r="AQ84" t="str">
            <v>EN EJECUCION</v>
          </cell>
        </row>
        <row r="85">
          <cell r="C85">
            <v>44607</v>
          </cell>
          <cell r="D85">
            <v>106721</v>
          </cell>
          <cell r="E85" t="str">
            <v>Licitación Pública</v>
          </cell>
          <cell r="F85">
            <v>4526</v>
          </cell>
          <cell r="G85" t="str">
            <v>TORRES</v>
          </cell>
          <cell r="H85" t="str">
            <v>SUCURSAL LLAVALLOL</v>
          </cell>
          <cell r="I85" t="str">
            <v>TRABAJOS DE REMODELACIÓN</v>
          </cell>
          <cell r="J85">
            <v>2802060</v>
          </cell>
          <cell r="K85">
            <v>2582543.7799999998</v>
          </cell>
          <cell r="L85">
            <v>-7.834101339728633E-2</v>
          </cell>
          <cell r="M85">
            <v>41136</v>
          </cell>
          <cell r="N85">
            <v>0.54166666666666696</v>
          </cell>
          <cell r="O85">
            <v>200</v>
          </cell>
          <cell r="P85" t="str">
            <v>CONSTRUCTORA INMOBILIARIA CITEK S.R.L.</v>
          </cell>
          <cell r="Q85">
            <v>41222</v>
          </cell>
          <cell r="T85">
            <v>41241</v>
          </cell>
          <cell r="U85">
            <v>180</v>
          </cell>
          <cell r="Y85">
            <v>41421</v>
          </cell>
          <cell r="AQ85" t="str">
            <v>EN EJECUCION. Con fecha 11/01, 25/01/13 y 27/02/13 se solicita estado de situacion de la obra, evaluacion de amp y remision de os, dado que cuenta con un avance del 0,62 %</v>
          </cell>
        </row>
        <row r="86">
          <cell r="C86">
            <v>44609</v>
          </cell>
          <cell r="D86">
            <v>108049</v>
          </cell>
          <cell r="E86" t="str">
            <v>Licitación Pública</v>
          </cell>
          <cell r="F86">
            <v>4527</v>
          </cell>
          <cell r="G86" t="str">
            <v>CARTOCHIO</v>
          </cell>
          <cell r="H86" t="str">
            <v xml:space="preserve">EDIFICIO GUANAHANI   </v>
          </cell>
          <cell r="I86" t="str">
            <v xml:space="preserve">REEMPLAZO DE CUBIERTA DE CHAPA, CANALETAS, EMBUDOS Y BABETAS </v>
          </cell>
          <cell r="J86">
            <v>1202180</v>
          </cell>
          <cell r="K86">
            <v>1075830.8799999999</v>
          </cell>
          <cell r="L86">
            <v>-0.10510000166364449</v>
          </cell>
          <cell r="M86">
            <v>41145</v>
          </cell>
          <cell r="N86">
            <v>0.5</v>
          </cell>
          <cell r="O86">
            <v>200</v>
          </cell>
          <cell r="P86" t="str">
            <v>ZOLMACO S.A.</v>
          </cell>
          <cell r="Q86">
            <v>41312</v>
          </cell>
          <cell r="T86">
            <v>41330</v>
          </cell>
          <cell r="U86">
            <v>120</v>
          </cell>
          <cell r="Y86">
            <v>41450</v>
          </cell>
          <cell r="AQ86" t="str">
            <v>EN EJECUCION.</v>
          </cell>
        </row>
        <row r="87">
          <cell r="C87">
            <v>44615</v>
          </cell>
          <cell r="E87" t="str">
            <v>Licitación Pública</v>
          </cell>
          <cell r="F87">
            <v>4530</v>
          </cell>
          <cell r="G87" t="str">
            <v>GLUJ</v>
          </cell>
          <cell r="H87" t="str">
            <v>SUCURSALES LOMAS DE ZAMORA, RIOBAMBA Y MORENO</v>
          </cell>
          <cell r="I87" t="str">
            <v>RENOVACIÓN DE EQUIPOS DE Aº Aº Y CALEFACCIÓN - PREAA 2012 - GRUPO H.</v>
          </cell>
          <cell r="J87">
            <v>3875650</v>
          </cell>
          <cell r="K87">
            <v>3546219.75</v>
          </cell>
          <cell r="L87">
            <v>-8.5000000000000006E-2</v>
          </cell>
          <cell r="M87">
            <v>41145</v>
          </cell>
          <cell r="N87">
            <v>0.54166666666666663</v>
          </cell>
          <cell r="O87">
            <v>200</v>
          </cell>
          <cell r="U87">
            <v>120</v>
          </cell>
          <cell r="AQ87" t="str">
            <v>Con fecha 03/01/2013 se envia a legales para proceder con la adjudicación. Con fecha 12/3/2013 expte a Gcia Gral</v>
          </cell>
        </row>
        <row r="88">
          <cell r="C88">
            <v>44619</v>
          </cell>
          <cell r="E88" t="str">
            <v>Licitación Pública</v>
          </cell>
          <cell r="F88">
            <v>4532</v>
          </cell>
          <cell r="G88" t="str">
            <v>URRETAVIZCAYA</v>
          </cell>
          <cell r="H88" t="str">
            <v>SUCURSAL GUERNICA</v>
          </cell>
          <cell r="I88" t="str">
            <v>NUEVO EDIFICIO</v>
          </cell>
          <cell r="J88">
            <v>6470793</v>
          </cell>
          <cell r="L88" t="str">
            <v/>
          </cell>
          <cell r="M88">
            <v>41208</v>
          </cell>
          <cell r="N88">
            <v>0.47916666666666669</v>
          </cell>
          <cell r="O88">
            <v>200</v>
          </cell>
          <cell r="P88" t="str">
            <v>INF DE SELECCIÓN</v>
          </cell>
          <cell r="U88">
            <v>210</v>
          </cell>
          <cell r="AQ88" t="str">
            <v>Con fecha 15/02/2013 se envía a Contaduria y Gcia Gral para aprobacion informe de selección. Con fecha 12/03/2013 se envían CD de selección</v>
          </cell>
        </row>
        <row r="89">
          <cell r="C89">
            <v>44624</v>
          </cell>
          <cell r="D89">
            <v>107921</v>
          </cell>
          <cell r="E89" t="str">
            <v>Licitación Pública</v>
          </cell>
          <cell r="F89">
            <v>4535</v>
          </cell>
          <cell r="G89" t="str">
            <v>TORRES</v>
          </cell>
          <cell r="H89" t="str">
            <v>UDN VILLA LUZURIAGA</v>
          </cell>
          <cell r="I89" t="str">
            <v>CONSTRUCCION LOCAL</v>
          </cell>
          <cell r="J89">
            <v>1678678</v>
          </cell>
          <cell r="K89">
            <v>1545744.01</v>
          </cell>
          <cell r="L89">
            <v>-7.9189689743953268E-2</v>
          </cell>
          <cell r="M89">
            <v>41159</v>
          </cell>
          <cell r="N89">
            <v>0.52083333333333337</v>
          </cell>
          <cell r="O89">
            <v>200</v>
          </cell>
          <cell r="P89" t="str">
            <v>ILP INGENIERIA Y CONSTRUCCIONES SA</v>
          </cell>
          <cell r="Q89">
            <v>41302</v>
          </cell>
          <cell r="T89">
            <v>41338</v>
          </cell>
          <cell r="U89">
            <v>180</v>
          </cell>
          <cell r="Y89">
            <v>41518</v>
          </cell>
          <cell r="AQ89" t="str">
            <v>EN EJECUCION. Con fecha 15/04/13 se remite a tecnica nota de la contratista donde solicita se reconsidere la multa por atraso en el inicio, para su evaluación.</v>
          </cell>
        </row>
        <row r="90">
          <cell r="C90">
            <v>44625</v>
          </cell>
          <cell r="E90" t="str">
            <v xml:space="preserve">Licitación Pública </v>
          </cell>
          <cell r="F90">
            <v>4536</v>
          </cell>
          <cell r="G90" t="str">
            <v>GLUJ</v>
          </cell>
          <cell r="H90" t="str">
            <v>CHACABUCO</v>
          </cell>
          <cell r="I90" t="str">
            <v xml:space="preserve">REMODELACION LOCAL </v>
          </cell>
          <cell r="J90">
            <v>3614100</v>
          </cell>
          <cell r="L90" t="str">
            <v/>
          </cell>
          <cell r="M90">
            <v>41250</v>
          </cell>
          <cell r="N90">
            <v>0.52083333333333337</v>
          </cell>
          <cell r="O90">
            <v>200</v>
          </cell>
          <cell r="P90" t="str">
            <v>INF DE SELECCIÓN</v>
          </cell>
          <cell r="U90">
            <v>210</v>
          </cell>
          <cell r="AQ90" t="str">
            <v>Con fecha 11/04/2013 se envía a Contaduría y GG para la aprobación del informe de selección. Con fecha 17/04/2013 se envían CD de precalificación.</v>
          </cell>
        </row>
        <row r="91">
          <cell r="C91">
            <v>44630</v>
          </cell>
          <cell r="E91" t="str">
            <v>Licitación Pública</v>
          </cell>
          <cell r="F91">
            <v>4537</v>
          </cell>
          <cell r="G91" t="str">
            <v>GLUJ</v>
          </cell>
          <cell r="H91" t="str">
            <v>ZONA TANDIL</v>
          </cell>
          <cell r="I91" t="str">
            <v>ADECUACIÓN DE BANCAS ELECTRÓNICAS</v>
          </cell>
          <cell r="J91">
            <v>3362892.59</v>
          </cell>
          <cell r="L91" t="str">
            <v/>
          </cell>
          <cell r="M91">
            <v>41172</v>
          </cell>
          <cell r="N91">
            <v>0.47916666666666669</v>
          </cell>
          <cell r="O91">
            <v>200</v>
          </cell>
          <cell r="P91" t="str">
            <v xml:space="preserve">A ESTUDIO DE OFERTAS </v>
          </cell>
          <cell r="U91">
            <v>90</v>
          </cell>
          <cell r="AQ91" t="str">
            <v>En consulrta en Dictamenes para dejar sin efecto ellamado por error en la apertura y cambios en la documentacion de orden tecnicio</v>
          </cell>
        </row>
        <row r="92">
          <cell r="C92">
            <v>44654</v>
          </cell>
          <cell r="E92" t="str">
            <v>Licitación Pública</v>
          </cell>
          <cell r="F92">
            <v>4547</v>
          </cell>
          <cell r="G92" t="str">
            <v>URRETAVIZCAYA</v>
          </cell>
          <cell r="H92" t="str">
            <v>CASA CENTRAL Y EDIFICIO BARTOLOMÉ MITRE 441</v>
          </cell>
          <cell r="I92" t="str">
            <v>TRABAJOS DE MODERNIZACIÓN DE ASCENSORES</v>
          </cell>
          <cell r="J92">
            <v>7569600</v>
          </cell>
          <cell r="L92" t="str">
            <v/>
          </cell>
          <cell r="M92">
            <v>41214</v>
          </cell>
          <cell r="N92">
            <v>0.52083333333333337</v>
          </cell>
          <cell r="O92">
            <v>200</v>
          </cell>
          <cell r="P92" t="str">
            <v xml:space="preserve">A ESTUDIO DE OFERTAS </v>
          </cell>
          <cell r="U92" t="str">
            <v>18 MESES</v>
          </cell>
          <cell r="AQ92" t="str">
            <v>Con fecha 20/11/2012 se envía para estudio de ofertas.</v>
          </cell>
        </row>
        <row r="93">
          <cell r="C93">
            <v>44655</v>
          </cell>
          <cell r="D93">
            <v>108051</v>
          </cell>
          <cell r="E93" t="str">
            <v>Licitación Pública</v>
          </cell>
          <cell r="F93">
            <v>4549</v>
          </cell>
          <cell r="G93" t="str">
            <v>TORRES</v>
          </cell>
          <cell r="H93" t="str">
            <v>DELEGACIÓN TORDILLO</v>
          </cell>
          <cell r="I93" t="str">
            <v>TRABAJOS DE REMODELACIÓN</v>
          </cell>
          <cell r="J93">
            <v>1260000</v>
          </cell>
          <cell r="K93">
            <v>1408680</v>
          </cell>
          <cell r="L93">
            <v>0.11799999999999997</v>
          </cell>
          <cell r="M93">
            <v>41225</v>
          </cell>
          <cell r="N93">
            <v>0.5</v>
          </cell>
          <cell r="O93">
            <v>200</v>
          </cell>
          <cell r="P93" t="str">
            <v>M &amp; S Pintura Integral</v>
          </cell>
          <cell r="Q93">
            <v>41312</v>
          </cell>
          <cell r="T93">
            <v>41337</v>
          </cell>
          <cell r="U93">
            <v>120</v>
          </cell>
          <cell r="Y93">
            <v>41457</v>
          </cell>
          <cell r="AQ93" t="str">
            <v>EN EJECUCION</v>
          </cell>
        </row>
        <row r="94">
          <cell r="C94">
            <v>44660</v>
          </cell>
          <cell r="E94" t="str">
            <v>Licitación Pública</v>
          </cell>
          <cell r="F94">
            <v>4550</v>
          </cell>
          <cell r="G94" t="str">
            <v>URRETAVIZCAYA</v>
          </cell>
          <cell r="H94" t="str">
            <v>SUCURSALES MORÓN, VILLA CELINA Y CRUCE FLORENCIO VARELA</v>
          </cell>
          <cell r="I94" t="str">
            <v>RENOVACIÓN DE EQUIPOS DE AIRE ACONDICIONADO Y CALEFACCIÓN - PREAA 2012 - GRUPO i</v>
          </cell>
          <cell r="J94">
            <v>3046100</v>
          </cell>
          <cell r="L94" t="str">
            <v/>
          </cell>
          <cell r="M94">
            <v>41214</v>
          </cell>
          <cell r="N94">
            <v>0.47916666666666669</v>
          </cell>
          <cell r="O94">
            <v>200</v>
          </cell>
          <cell r="P94" t="str">
            <v>INF DE SELECCIÓN</v>
          </cell>
          <cell r="U94">
            <v>120</v>
          </cell>
          <cell r="AQ94" t="str">
            <v>Con fecha 11/04/2013 se envían CD de precalificación.</v>
          </cell>
        </row>
        <row r="95">
          <cell r="C95">
            <v>44661</v>
          </cell>
          <cell r="E95" t="str">
            <v xml:space="preserve">Licitacion Pública </v>
          </cell>
          <cell r="F95">
            <v>4551</v>
          </cell>
          <cell r="G95" t="str">
            <v>URRETAVIZCAYA</v>
          </cell>
          <cell r="H95" t="str">
            <v>SUCURSAL NUÑEZ</v>
          </cell>
          <cell r="I95" t="str">
            <v xml:space="preserve">REMODELACION LOCAL </v>
          </cell>
          <cell r="J95">
            <v>5895561.1900000004</v>
          </cell>
          <cell r="L95" t="str">
            <v/>
          </cell>
          <cell r="M95">
            <v>41207</v>
          </cell>
          <cell r="N95">
            <v>0.47916666666666669</v>
          </cell>
          <cell r="O95">
            <v>200</v>
          </cell>
          <cell r="P95" t="str">
            <v>INF DE SELECCIÓN</v>
          </cell>
          <cell r="U95">
            <v>150</v>
          </cell>
          <cell r="AQ95" t="str">
            <v>Con fecha 15/02/2013 se envia a Contaduria y Gcia Gral para aprobacion informe de selección. Con feha 28/02/13 salen Cd´s de selección</v>
          </cell>
        </row>
        <row r="96">
          <cell r="C96">
            <v>44666</v>
          </cell>
          <cell r="E96" t="str">
            <v>Licitación Pública</v>
          </cell>
          <cell r="F96">
            <v>4554</v>
          </cell>
          <cell r="G96" t="str">
            <v>GLUJ</v>
          </cell>
          <cell r="H96" t="str">
            <v>ZONA 1</v>
          </cell>
          <cell r="I96" t="str">
            <v>PROYECTO Y DIRECCION DE OBRAS PARA ADECUACION EDILICIA DE SUCURSALES - 3° ETAPA</v>
          </cell>
          <cell r="J96">
            <v>5060000</v>
          </cell>
          <cell r="L96" t="str">
            <v/>
          </cell>
          <cell r="M96">
            <v>41285</v>
          </cell>
          <cell r="N96">
            <v>0.5</v>
          </cell>
          <cell r="O96">
            <v>200</v>
          </cell>
          <cell r="P96" t="str">
            <v xml:space="preserve">A ESTUDIO DE OFERTAS </v>
          </cell>
          <cell r="AQ96" t="str">
            <v>Con fecha 16/01/2013 se envía para estudio de ofertas.</v>
          </cell>
        </row>
        <row r="97">
          <cell r="H97" t="str">
            <v>ZONA 2</v>
          </cell>
          <cell r="L97" t="str">
            <v/>
          </cell>
        </row>
        <row r="98">
          <cell r="H98" t="str">
            <v>ZONA 3</v>
          </cell>
          <cell r="L98" t="str">
            <v/>
          </cell>
        </row>
        <row r="99">
          <cell r="H99" t="str">
            <v>ZONA 4</v>
          </cell>
          <cell r="L99" t="str">
            <v/>
          </cell>
        </row>
        <row r="100">
          <cell r="C100">
            <v>44674</v>
          </cell>
          <cell r="D100">
            <v>106970</v>
          </cell>
          <cell r="E100" t="str">
            <v>Licitación Pública</v>
          </cell>
          <cell r="F100">
            <v>4559</v>
          </cell>
          <cell r="G100" t="str">
            <v>TORRES</v>
          </cell>
          <cell r="H100" t="str">
            <v>5° PISO CASA CENTRAL - SECTOR I Y SECTOR II</v>
          </cell>
          <cell r="I100" t="str">
            <v>REMODELACIÓN INTEGRAL</v>
          </cell>
          <cell r="J100">
            <v>1298764</v>
          </cell>
          <cell r="K100">
            <v>1216941.8799999999</v>
          </cell>
          <cell r="L100">
            <v>-6.2999990760446142E-2</v>
          </cell>
          <cell r="M100">
            <v>41213</v>
          </cell>
          <cell r="N100">
            <v>0.5</v>
          </cell>
          <cell r="O100">
            <v>200</v>
          </cell>
          <cell r="P100" t="str">
            <v>SBAICSE S.A.</v>
          </cell>
          <cell r="Q100">
            <v>41241</v>
          </cell>
          <cell r="T100">
            <v>41250</v>
          </cell>
          <cell r="U100">
            <v>90</v>
          </cell>
          <cell r="Y100">
            <v>41340</v>
          </cell>
          <cell r="AQ100" t="str">
            <v>EN EJECUCION</v>
          </cell>
        </row>
        <row r="101">
          <cell r="C101">
            <v>44687</v>
          </cell>
          <cell r="D101">
            <v>100694</v>
          </cell>
          <cell r="E101" t="str">
            <v>Licitación Pública</v>
          </cell>
          <cell r="F101">
            <v>4563</v>
          </cell>
          <cell r="G101" t="str">
            <v>URRETAVIZCAYA</v>
          </cell>
          <cell r="H101" t="str">
            <v>SUCURSAL SAN PEDRO</v>
          </cell>
          <cell r="I101" t="str">
            <v>REMODELACIÓN DEL EDIFICIO</v>
          </cell>
          <cell r="J101">
            <v>3494868.6</v>
          </cell>
          <cell r="L101" t="str">
            <v/>
          </cell>
          <cell r="M101">
            <v>41243</v>
          </cell>
          <cell r="N101">
            <v>0.47916666666666669</v>
          </cell>
          <cell r="O101">
            <v>200</v>
          </cell>
          <cell r="P101" t="str">
            <v>INF DE SELECCIÓN</v>
          </cell>
          <cell r="U101">
            <v>180</v>
          </cell>
          <cell r="AQ101" t="str">
            <v>Con fecha 17/04/2013 se envían CD de precalificación.</v>
          </cell>
        </row>
        <row r="102">
          <cell r="C102">
            <v>44689</v>
          </cell>
          <cell r="E102" t="str">
            <v>Licitación Pública</v>
          </cell>
          <cell r="F102">
            <v>4564</v>
          </cell>
          <cell r="G102" t="str">
            <v>URRETAVIZCAYA</v>
          </cell>
          <cell r="H102" t="str">
            <v>EDIFICIO ANEXO ESQUINA</v>
          </cell>
          <cell r="I102" t="str">
            <v>TRABAJOS DE MODERNIZACIÓN DE ASCENSORES CON MANTENIMIENTO INTEGRAL Y SERVICIO DE GUARDIA PERMANENTE</v>
          </cell>
          <cell r="J102">
            <v>8594800</v>
          </cell>
          <cell r="L102" t="str">
            <v/>
          </cell>
          <cell r="M102">
            <v>41288</v>
          </cell>
          <cell r="N102">
            <v>0.47916666666666669</v>
          </cell>
          <cell r="O102">
            <v>200</v>
          </cell>
          <cell r="P102" t="str">
            <v xml:space="preserve">A ESTUDIO DE OFERTAS </v>
          </cell>
          <cell r="U102" t="str">
            <v>18 MESES</v>
          </cell>
          <cell r="AQ102" t="str">
            <v>Con fecha 16/01/2013 se envía para estudio de ofertas.</v>
          </cell>
        </row>
        <row r="103">
          <cell r="C103">
            <v>44702</v>
          </cell>
          <cell r="D103">
            <v>108794</v>
          </cell>
          <cell r="E103" t="str">
            <v>Licitación Pública</v>
          </cell>
          <cell r="F103">
            <v>4569</v>
          </cell>
          <cell r="G103" t="str">
            <v>CARTOCHIO</v>
          </cell>
          <cell r="H103" t="str">
            <v>SUCURSALES DEL BANCO DE LA PCIA. DE BUENOS AIRES</v>
          </cell>
          <cell r="I103" t="str">
            <v>DESCONEXIÓN, PROVISIÓN, INSTALACIÓN E INTERCONEXIONADO DE LOS SISTEMAS DE ALARMA POLICIAL Y ELECTRÓNICA POR REMODELACIONES</v>
          </cell>
          <cell r="J103">
            <v>793153</v>
          </cell>
          <cell r="K103">
            <v>872468.3</v>
          </cell>
          <cell r="L103">
            <v>0.1</v>
          </cell>
          <cell r="M103">
            <v>41310</v>
          </cell>
          <cell r="N103">
            <v>0.5</v>
          </cell>
          <cell r="O103">
            <v>200</v>
          </cell>
          <cell r="P103" t="str">
            <v>TYSSE S.A.</v>
          </cell>
          <cell r="Q103">
            <v>41373</v>
          </cell>
          <cell r="U103">
            <v>180</v>
          </cell>
          <cell r="AQ103" t="str">
            <v>Con fecha 22/04/13 se envia autorización de personal</v>
          </cell>
        </row>
        <row r="104">
          <cell r="C104">
            <v>44707</v>
          </cell>
          <cell r="E104" t="str">
            <v xml:space="preserve">Licitación Pública </v>
          </cell>
          <cell r="F104">
            <v>4571</v>
          </cell>
          <cell r="G104" t="str">
            <v>MOURO</v>
          </cell>
          <cell r="H104" t="str">
            <v>SUCURSALES CABA</v>
          </cell>
          <cell r="I104" t="str">
            <v>MEJORAS, CERTIFICACION E INSPECCION DE CALDERAS</v>
          </cell>
          <cell r="J104">
            <v>942315.13</v>
          </cell>
          <cell r="L104" t="str">
            <v/>
          </cell>
          <cell r="M104">
            <v>41303</v>
          </cell>
          <cell r="N104">
            <v>0.47916666666666669</v>
          </cell>
          <cell r="O104">
            <v>188</v>
          </cell>
          <cell r="P104" t="str">
            <v xml:space="preserve"> </v>
          </cell>
          <cell r="U104">
            <v>90</v>
          </cell>
          <cell r="AQ104" t="str">
            <v>Desierta.</v>
          </cell>
        </row>
        <row r="105">
          <cell r="C105">
            <v>44718</v>
          </cell>
          <cell r="E105" t="str">
            <v>Licitación Pública</v>
          </cell>
          <cell r="F105">
            <v>4573</v>
          </cell>
          <cell r="G105" t="str">
            <v>URRETAVIZCAYA</v>
          </cell>
          <cell r="H105" t="str">
            <v>SUCURSALES VARIAS</v>
          </cell>
          <cell r="I105" t="str">
            <v>PROVISIÓN E INSTALACIÓN DE BIENES DE SEGURIDAD</v>
          </cell>
          <cell r="J105">
            <v>1950000</v>
          </cell>
          <cell r="L105" t="str">
            <v/>
          </cell>
          <cell r="M105">
            <v>41304</v>
          </cell>
          <cell r="N105">
            <v>0.47916666666666669</v>
          </cell>
          <cell r="O105">
            <v>200</v>
          </cell>
          <cell r="P105" t="str">
            <v>INF DE SELECCIÓN</v>
          </cell>
          <cell r="U105">
            <v>90</v>
          </cell>
          <cell r="AQ105" t="str">
            <v>Se fija apertura del Sobre Nº 2 para el 08/05/2013 a las 11:30hs. Con fecha 12/04/2013 se envían CD de selección.</v>
          </cell>
        </row>
        <row r="106">
          <cell r="C106">
            <v>44729</v>
          </cell>
          <cell r="E106" t="str">
            <v>Licitación Pública</v>
          </cell>
          <cell r="F106">
            <v>4577</v>
          </cell>
          <cell r="G106" t="str">
            <v>MOURO</v>
          </cell>
          <cell r="H106" t="str">
            <v>SUCURSALES VARIAS</v>
          </cell>
          <cell r="I106" t="str">
            <v>BLINDAJES DE BOVEDAS DE CAJAS DE SEGURIDAD DE ALQUILER</v>
          </cell>
          <cell r="J106">
            <v>40383025</v>
          </cell>
          <cell r="M106">
            <v>41390</v>
          </cell>
          <cell r="N106">
            <v>0.52083333333333337</v>
          </cell>
          <cell r="O106">
            <v>200</v>
          </cell>
          <cell r="U106">
            <v>120</v>
          </cell>
          <cell r="AQ106" t="str">
            <v>Se fija apertura para el 26/04/2013</v>
          </cell>
        </row>
        <row r="107">
          <cell r="F107">
            <v>4578</v>
          </cell>
          <cell r="G107" t="str">
            <v>GLUJ</v>
          </cell>
          <cell r="H107" t="str">
            <v>SUCURSALES VARIAS</v>
          </cell>
          <cell r="I107" t="str">
            <v>DESCONEXIÓN, PROVISIÓN. INSTALACIÓN E INTERCONEXIONADO DE LOS SISTEMAS DE ALARMA POLICIAL Y ELECTRÓNICA POR REMODELACIONES</v>
          </cell>
          <cell r="J107">
            <v>398812</v>
          </cell>
          <cell r="K107">
            <v>438693.2</v>
          </cell>
          <cell r="L107">
            <v>0.1</v>
          </cell>
          <cell r="M107">
            <v>41359</v>
          </cell>
          <cell r="N107">
            <v>0.5</v>
          </cell>
          <cell r="O107">
            <v>200</v>
          </cell>
          <cell r="P107" t="str">
            <v>TYSSE S.A.</v>
          </cell>
          <cell r="U107">
            <v>180</v>
          </cell>
          <cell r="AQ107" t="str">
            <v>Con fecha 23 abril 2013 se eleva inf de adjudicacion</v>
          </cell>
        </row>
        <row r="108">
          <cell r="C108">
            <v>44730</v>
          </cell>
          <cell r="E108" t="str">
            <v>Licitación Pública</v>
          </cell>
          <cell r="J108">
            <v>429856</v>
          </cell>
          <cell r="K108">
            <v>472841.6</v>
          </cell>
          <cell r="L108">
            <v>0.1</v>
          </cell>
          <cell r="P108" t="str">
            <v>DELTA COMUNICACIONES S.R.L.</v>
          </cell>
          <cell r="AQ108" t="str">
            <v>Con fecha 23 abril 2013 se eleva inf de adjudicacion</v>
          </cell>
        </row>
        <row r="109">
          <cell r="C109">
            <v>44745</v>
          </cell>
          <cell r="E109" t="str">
            <v>Licitación Pública</v>
          </cell>
          <cell r="F109">
            <v>4583</v>
          </cell>
          <cell r="G109" t="str">
            <v>GLUJ</v>
          </cell>
          <cell r="H109" t="str">
            <v>ZONAS SUBURBANA, INTERIOR NORTE E INTERIOR SUR</v>
          </cell>
          <cell r="I109" t="str">
            <v xml:space="preserve">PROVISIÓN E INSTALACIÓN DE MÓDULOS DE TRANSMISIÓN DE EVENTOS DE ALARMA POR SISTEMA GPRS, INTERCONEXIONADO DE MATERIALES Y EQUIPAMIENTO CON EL SISTEMA DE ALARMA ELECTRÓNICA PARA CAJEROS AUTOMÁTICOS </v>
          </cell>
          <cell r="J109">
            <v>1139500</v>
          </cell>
          <cell r="M109">
            <v>41390</v>
          </cell>
          <cell r="N109">
            <v>0.5625</v>
          </cell>
          <cell r="O109">
            <v>200</v>
          </cell>
          <cell r="U109">
            <v>90</v>
          </cell>
          <cell r="AQ109" t="str">
            <v>Se fija apertura para el 26/04/2013</v>
          </cell>
        </row>
      </sheetData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3240B6-9C5B-4764-B7CB-DE47757C348A}" name="Tabla1" displayName="Tabla1" ref="A1:AU45" totalsRowCount="1" headerRowDxfId="137" dataDxfId="136" totalsRowDxfId="134" tableBorderDxfId="135" totalsRowBorderDxfId="133">
  <autoFilter ref="A1:AU44" xr:uid="{918DF030-221E-4929-9859-BA06092A6234}"/>
  <sortState xmlns:xlrd2="http://schemas.microsoft.com/office/spreadsheetml/2017/richdata2" ref="A2:AU37">
    <sortCondition ref="AC1:AC44"/>
  </sortState>
  <tableColumns count="47">
    <tableColumn id="1" xr3:uid="{AAF6FA01-5DA2-4AD0-858A-774E638F81B9}" name="ORDEN DE TRABAJO" totalsRowLabel="105.695" dataDxfId="132" totalsRowDxfId="46"/>
    <tableColumn id="2" xr3:uid="{980C8483-A8A0-45BE-848E-1456E5196604}" name="ESTADO" totalsRowLabel="EJECUCIÓN" dataDxfId="131" totalsRowDxfId="45"/>
    <tableColumn id="3" xr3:uid="{06CB7908-8DA3-4333-9C1C-0DA0454D5F94}" name="TIPO" totalsRowLabel="PÚBLICA" dataDxfId="130" totalsRowDxfId="44"/>
    <tableColumn id="4" xr3:uid="{065883A2-7198-4CC7-B64A-BFED28656E0B}" name="EXP." totalsRowLabel="44.669" dataDxfId="129" totalsRowDxfId="43"/>
    <tableColumn id="5" xr3:uid="{E59E97C0-C27F-4EE6-9A98-4D36466DD500}" name="NRO. LICITACION" totalsRowLabel="12.043" dataDxfId="128" totalsRowDxfId="42"/>
    <tableColumn id="6" xr3:uid="{42854592-48C1-42F4-8367-E1F778616D92}" name="COMPRADOR" totalsRowLabel="GARCIA" dataDxfId="127" totalsRowDxfId="41"/>
    <tableColumn id="7" xr3:uid="{8B86AF3C-C56B-4C18-BCF2-DAF6AB1397A8}" name="DESCRIPCION" totalsRowLabel="TRABAJOS DE SANEAMIENTO E IMPERMEABILIZACION DE CUBIERTAS ETAPA 1, ADECUACIONES DE SEGURIDAD Y VEREDAS PÚBLICAS " dataDxfId="126" totalsRowDxfId="40"/>
    <tableColumn id="8" xr3:uid="{B47DF1D3-3541-4251-A271-44003D3D2A8A}" name="UBICACIÓN" totalsRowLabel="EDIFICIO REGIÓN Y CASA MATRIZ LA PLATA Y ANEXO CRÉDITO HIPOTECARIO LA PLATA" dataDxfId="125" totalsRowDxfId="39"/>
    <tableColumn id="9" xr3:uid="{22CF4CF3-704D-46D3-9113-AC391332058F}" name="RUBRO" totalsRowLabel="ADECUACIONES" dataDxfId="124" totalsRowDxfId="38"/>
    <tableColumn id="10" xr3:uid="{0E61EC34-948B-4EA5-89A6-927ADF86E8B6}" name="LOCACION" totalsRowLabel="SUCURSAL" dataDxfId="123" totalsRowDxfId="37"/>
    <tableColumn id="11" xr3:uid="{94BF6D39-2FD4-456D-B5FF-E45AC5E55C2B}" name="PLAZO DE OBRA" totalsRowLabel="180" dataDxfId="122" totalsRowDxfId="36"/>
    <tableColumn id="12" xr3:uid="{EAE9F290-CC90-42D6-BDD0-A070AA5FBE88}" name="PROVEEDOR" totalsRowLabel="DELTEC INGENIERÍA S.A." totalsRowDxfId="35"/>
    <tableColumn id="13" xr3:uid="{9C70DBB2-6D7E-4121-BB3D-26F609ACAE92}" name="TECNICO DE LA OBRA" totalsRowLabel="NAVARRO" dataDxfId="121" totalsRowDxfId="34"/>
    <tableColumn id="14" xr3:uid="{C175DA3A-848F-47C2-82D6-5AB1D5C843A0}" name="MONTO TOTAL ADJUDICADO" totalsRowLabel="$ 238.332.190,59" dataDxfId="120" totalsRowDxfId="33"/>
    <tableColumn id="15" xr3:uid="{02A531F2-DFBB-4D35-BF06-EC7E997E9BE6}" name="FECHA DE PERF. DE CONTRATO" totalsRowLabel="19/01/2026" dataDxfId="119" totalsRowDxfId="32"/>
    <tableColumn id="16" xr3:uid="{05F0CCCC-0F68-4BF5-B9AC-FEC533B0A794}" name="VTO. FIRMA OT" totalsRowLabel="23/01/2026" dataDxfId="118" totalsRowDxfId="31"/>
    <tableColumn id="17" xr3:uid="{7A6DEB5F-A607-481B-8733-3C276AEF5023}" name="FECHA FIRMA DE OT" totalsRowLabel="19/01/2026" dataDxfId="117" totalsRowDxfId="30"/>
    <tableColumn id="18" xr3:uid="{FDEFC1E9-3D84-450F-B245-E4BE05BB815C}" name="VTO. INICIO" totalsRowLabel="02/02/2026" dataDxfId="116" totalsRowDxfId="29"/>
    <tableColumn id="19" xr3:uid="{CD0024CF-AD38-4EC8-9998-94E24BA9BAC9}" name="CORRIMIENTO INICIO" totalsRowLabel="5" dataDxfId="115" totalsRowDxfId="28"/>
    <tableColumn id="20" xr3:uid="{1CB23A1C-5C0A-4316-87C8-50A3E1EC991D}" name="ACTA DE INICIO" totalsRowLabel="09/02/2026" dataDxfId="114" totalsRowDxfId="27"/>
    <tableColumn id="21" xr3:uid="{0F12BA7E-0004-462E-8578-0C1D06839555}" name="VENCIMIENTO RESP. CIVIL" totalsRowLabel="19/08/2026" dataDxfId="113" totalsRowDxfId="26"/>
    <tableColumn id="22" xr3:uid="{97EA4777-7A60-459D-ADFC-423224E0EF30}" name="VENCIMIENTO ORIGINAL ENTREGA" totalsRowFunction="custom" dataDxfId="112" totalsRowDxfId="25">
      <totalsRowFormula>+T45+K45</totalsRowFormula>
    </tableColumn>
    <tableColumn id="23" xr3:uid="{801330BB-1F27-4FB4-BC7E-2586AC6FC649}" name="VENCIMIENTO_x000a_+ AMPLIACION" totalsRowFunction="custom" dataDxfId="111" totalsRowDxfId="24">
      <totalsRowFormula>+V45+Z45</totalsRowFormula>
    </tableColumn>
    <tableColumn id="24" xr3:uid="{E354169B-4804-43B7-932D-07597E7E1947}" name="VENCIMIENTO_x000a_+ AMPL + LNI" totalsRowFunction="custom" dataDxfId="110" totalsRowDxfId="23">
      <totalsRowFormula>+V45+Y45+Z45</totalsRowFormula>
    </tableColumn>
    <tableColumn id="25" xr3:uid="{DD3A741D-D750-4DBE-BE57-98CE7E16428D}" name="LNI" dataDxfId="109" totalsRowDxfId="22"/>
    <tableColumn id="26" xr3:uid="{07C6AD05-9108-428C-AC57-988756C6F679}" name="AMPLIACIONES DE PLAZO" totalsRowLabel="4" dataDxfId="108" totalsRowDxfId="21"/>
    <tableColumn id="27" xr3:uid="{6583C3F9-AA17-46A1-9739-33951CFCB6E9}" name="DIAS DE ATRASO (considerando AP + LNI)" totalsRowFunction="custom" dataDxfId="107" totalsRowDxfId="20">
      <calculatedColumnFormula>+IF(AB2="",TODAY()-X2,AB2-X2)</calculatedColumnFormula>
      <totalsRowFormula>+IF(AB45="",TODAY()-X45,AB45-X45)</totalsRowFormula>
    </tableColumn>
    <tableColumn id="28" xr3:uid="{FB332449-C70A-441A-A1FB-284BC2EC618F}" name="ACTA RECEP. PROVISORIA" dataDxfId="106" totalsRowDxfId="19"/>
    <tableColumn id="29" xr3:uid="{2EE1CCC6-F26D-482C-95F1-8FCC30242DB1}" name="VTO. GARANTIA" dataDxfId="105" totalsRowDxfId="18"/>
    <tableColumn id="30" xr3:uid="{646287C7-996C-4CAA-98A3-C0B2141FC843}" name="ACTA RECEP. DEFINITIVA" dataDxfId="104" totalsRowDxfId="17"/>
    <tableColumn id="31" xr3:uid="{CD451B61-61F5-409D-86F6-0F0E8CE79BC1}" name="ADICIONALES DE OBRA" dataDxfId="103" totalsRowDxfId="16"/>
    <tableColumn id="32" xr3:uid="{4330D783-FBB0-497A-B549-4E11B331614F}" name="ECONOMIAS" dataDxfId="102" totalsRowDxfId="15"/>
    <tableColumn id="33" xr3:uid="{2F1EC2AB-3CB3-4CE5-AE18-F34CA8E2C5E3}" name="REDET. PRECIOS" dataDxfId="101" totalsRowDxfId="14"/>
    <tableColumn id="34" xr3:uid="{2B2EEADA-B983-45B5-808C-77125C32A3AA}" name="REDET. ADICIONALES" dataDxfId="100" totalsRowDxfId="13"/>
    <tableColumn id="35" xr3:uid="{40022E09-61E3-4C4A-A7B3-9C8D0D5E530C}" name="REDET. ECONOMÍAS" dataDxfId="99" totalsRowDxfId="12"/>
    <tableColumn id="36" xr3:uid="{EAA604D5-76BB-44AB-82C6-3C489797CA74}" name="MONTO CONTRATO ACTUALIZADO" totalsRowFunction="custom" dataDxfId="98" totalsRowDxfId="11">
      <calculatedColumnFormula>+N2+AE2+AG2+AH2-AF2-AI2</calculatedColumnFormula>
      <totalsRowFormula>+N45+AE45+AG45+AH45-AF45-AI45</totalsRowFormula>
    </tableColumn>
    <tableColumn id="37" xr3:uid="{0B970055-D989-420F-9623-369D808121D4}" name="MULTA OT" dataDxfId="97" totalsRowDxfId="10"/>
    <tableColumn id="38" xr3:uid="{D788FB94-1719-4C39-90A4-33CFF0C3E207}" name="MULTA INICIO" dataDxfId="96" totalsRowDxfId="9"/>
    <tableColumn id="39" xr3:uid="{F4A99538-94A1-4238-A0F0-1426F6139F90}" name="MULTA ENTREGA TRABAJOS" dataDxfId="95" totalsRowDxfId="8"/>
    <tableColumn id="40" xr3:uid="{9CB2E536-00C4-4E63-AABA-56F168A7566D}" name="MULTA ORDENES DE SERVICIO" dataDxfId="94" totalsRowDxfId="7"/>
    <tableColumn id="41" xr3:uid="{668E7CDC-BC0F-4334-A2C5-9DDEDFB7BED1}" name="% AVANCE ACUMULADO" totalsRowLabel="8,72%" dataDxfId="93" totalsRowDxfId="6"/>
    <tableColumn id="42" xr3:uid="{CCF4ADE4-FD54-4E6A-97B1-9413DBF5399F}" name="OBSERVACIONES S/AVANCE " totalsRowLabel="7,37%" dataDxfId="92" totalsRowDxfId="5"/>
    <tableColumn id="43" xr3:uid="{71F1DB03-6E29-4892-ACB1-F8EDD1F0EC2F}" name="FECHA INFORME TECNICO" totalsRowLabel="13/04/2026" dataDxfId="91" totalsRowDxfId="4"/>
    <tableColumn id="44" xr3:uid="{81E98364-424C-4EB8-B312-98029DC86221}" name="OBSERVACIONES" dataDxfId="90" totalsRowDxfId="3"/>
    <tableColumn id="45" xr3:uid="{0CF08197-9B0E-42D4-9805-1091EA807D06}" name="Envio" dataDxfId="89" totalsRowDxfId="2"/>
    <tableColumn id="46" xr3:uid="{F2843E47-5C75-41E0-B6F0-76B58D895264}" name="CAJA N°" dataDxfId="88" totalsRowDxfId="1"/>
    <tableColumn id="47" xr3:uid="{421A86DC-724C-4FCE-8C65-B3605D788173}" name="TOMOS" dataDxfId="87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V1047357"/>
  <sheetViews>
    <sheetView showGridLines="0" tabSelected="1" topLeftCell="M1" zoomScale="85" zoomScaleNormal="85" workbookViewId="0">
      <pane ySplit="1" topLeftCell="A25" activePane="bottomLeft" state="frozen"/>
      <selection pane="bottomLeft" activeCell="U47" sqref="U47"/>
    </sheetView>
  </sheetViews>
  <sheetFormatPr baseColWidth="10" defaultRowHeight="30" customHeight="1" x14ac:dyDescent="0.25"/>
  <cols>
    <col min="1" max="1" width="14" style="13" customWidth="1"/>
    <col min="2" max="2" width="12.42578125" style="17" bestFit="1" customWidth="1"/>
    <col min="3" max="3" width="12.42578125" style="17" customWidth="1"/>
    <col min="4" max="4" width="10" style="13" customWidth="1"/>
    <col min="5" max="5" width="16.7109375" style="13" bestFit="1" customWidth="1"/>
    <col min="6" max="6" width="17" style="17" customWidth="1"/>
    <col min="7" max="7" width="54.140625" style="12" customWidth="1"/>
    <col min="8" max="8" width="30.28515625" style="12" customWidth="1"/>
    <col min="9" max="9" width="19" style="12" customWidth="1"/>
    <col min="10" max="10" width="16.140625" style="12" bestFit="1" customWidth="1"/>
    <col min="11" max="11" width="14.140625" style="13" customWidth="1"/>
    <col min="12" max="12" width="19.5703125" style="12" customWidth="1"/>
    <col min="13" max="13" width="27.140625" style="12" bestFit="1" customWidth="1"/>
    <col min="14" max="14" width="33.85546875" style="40" bestFit="1" customWidth="1"/>
    <col min="15" max="15" width="32.7109375" style="18" customWidth="1"/>
    <col min="16" max="16" width="18" style="18" customWidth="1"/>
    <col min="17" max="17" width="22.85546875" style="18" customWidth="1"/>
    <col min="18" max="18" width="14.85546875" style="18" customWidth="1"/>
    <col min="19" max="19" width="24.42578125" style="13" customWidth="1"/>
    <col min="20" max="20" width="18.7109375" style="18" customWidth="1"/>
    <col min="21" max="21" width="28.5703125" style="24" customWidth="1"/>
    <col min="22" max="22" width="37.7109375" style="19" customWidth="1"/>
    <col min="23" max="24" width="15.42578125" style="19" customWidth="1"/>
    <col min="25" max="25" width="8.42578125" style="13" customWidth="1"/>
    <col min="26" max="26" width="28.28515625" style="13" customWidth="1"/>
    <col min="27" max="27" width="45" style="20" customWidth="1"/>
    <col min="28" max="28" width="16.140625" style="18" customWidth="1"/>
    <col min="29" max="29" width="15.140625" style="18" customWidth="1"/>
    <col min="30" max="30" width="16.5703125" style="18" customWidth="1"/>
    <col min="31" max="32" width="16.5703125" style="36" customWidth="1"/>
    <col min="33" max="33" width="18.140625" style="36" bestFit="1" customWidth="1"/>
    <col min="34" max="35" width="16.5703125" style="36" customWidth="1"/>
    <col min="36" max="36" width="18.140625" style="36" bestFit="1" customWidth="1"/>
    <col min="37" max="40" width="16.5703125" style="36" customWidth="1"/>
    <col min="41" max="41" width="16.42578125" style="14" customWidth="1"/>
    <col min="42" max="42" width="17.5703125" style="21" customWidth="1"/>
    <col min="43" max="43" width="20.140625" style="15" customWidth="1"/>
    <col min="44" max="44" width="78.28515625" style="16" customWidth="1"/>
    <col min="45" max="16384" width="11.42578125" style="17"/>
  </cols>
  <sheetData>
    <row r="1" spans="1:47" s="6" customFormat="1" ht="30" customHeight="1" x14ac:dyDescent="0.2">
      <c r="A1" s="1" t="s">
        <v>0</v>
      </c>
      <c r="B1" s="3" t="s">
        <v>10</v>
      </c>
      <c r="C1" s="3" t="s">
        <v>98</v>
      </c>
      <c r="D1" s="1" t="s">
        <v>1</v>
      </c>
      <c r="E1" s="1" t="s">
        <v>2</v>
      </c>
      <c r="F1" s="2" t="s">
        <v>3</v>
      </c>
      <c r="G1" s="2" t="s">
        <v>4</v>
      </c>
      <c r="H1" s="3" t="s">
        <v>5</v>
      </c>
      <c r="I1" s="2" t="s">
        <v>102</v>
      </c>
      <c r="J1" s="2" t="s">
        <v>46</v>
      </c>
      <c r="K1" s="1" t="s">
        <v>6</v>
      </c>
      <c r="L1" s="2" t="s">
        <v>7</v>
      </c>
      <c r="M1" s="2" t="s">
        <v>8</v>
      </c>
      <c r="N1" s="39" t="s">
        <v>9</v>
      </c>
      <c r="O1" s="4" t="s">
        <v>86</v>
      </c>
      <c r="P1" s="5" t="s">
        <v>11</v>
      </c>
      <c r="Q1" s="5" t="s">
        <v>85</v>
      </c>
      <c r="R1" s="5" t="s">
        <v>12</v>
      </c>
      <c r="S1" s="1" t="s">
        <v>13</v>
      </c>
      <c r="T1" s="5" t="s">
        <v>14</v>
      </c>
      <c r="U1" s="4" t="s">
        <v>45</v>
      </c>
      <c r="V1" s="51" t="s">
        <v>53</v>
      </c>
      <c r="W1" s="51" t="s">
        <v>54</v>
      </c>
      <c r="X1" s="51" t="s">
        <v>55</v>
      </c>
      <c r="Y1" s="1" t="s">
        <v>15</v>
      </c>
      <c r="Z1" s="1" t="s">
        <v>16</v>
      </c>
      <c r="AA1" s="1" t="s">
        <v>17</v>
      </c>
      <c r="AB1" s="5" t="s">
        <v>18</v>
      </c>
      <c r="AC1" s="5" t="s">
        <v>19</v>
      </c>
      <c r="AD1" s="5" t="s">
        <v>20</v>
      </c>
      <c r="AE1" s="34" t="s">
        <v>21</v>
      </c>
      <c r="AF1" s="34" t="s">
        <v>22</v>
      </c>
      <c r="AG1" s="35" t="s">
        <v>23</v>
      </c>
      <c r="AH1" s="34" t="s">
        <v>24</v>
      </c>
      <c r="AI1" s="34" t="s">
        <v>25</v>
      </c>
      <c r="AJ1" s="34" t="s">
        <v>56</v>
      </c>
      <c r="AK1" s="34" t="s">
        <v>26</v>
      </c>
      <c r="AL1" s="34" t="s">
        <v>27</v>
      </c>
      <c r="AM1" s="34" t="s">
        <v>28</v>
      </c>
      <c r="AN1" s="34" t="s">
        <v>29</v>
      </c>
      <c r="AO1" s="52" t="s">
        <v>30</v>
      </c>
      <c r="AP1" s="53" t="s">
        <v>31</v>
      </c>
      <c r="AQ1" s="54" t="s">
        <v>32</v>
      </c>
      <c r="AR1" s="4" t="s">
        <v>33</v>
      </c>
      <c r="AS1" s="22" t="s">
        <v>39</v>
      </c>
      <c r="AT1" s="22" t="s">
        <v>40</v>
      </c>
      <c r="AU1" s="55" t="s">
        <v>41</v>
      </c>
    </row>
    <row r="2" spans="1:47" s="12" customFormat="1" ht="30" customHeight="1" x14ac:dyDescent="0.25">
      <c r="A2" s="7">
        <v>183810</v>
      </c>
      <c r="B2" s="7" t="s">
        <v>34</v>
      </c>
      <c r="C2" s="7" t="s">
        <v>99</v>
      </c>
      <c r="D2" s="7">
        <v>46988</v>
      </c>
      <c r="E2" s="7">
        <v>57573</v>
      </c>
      <c r="F2" s="7" t="s">
        <v>173</v>
      </c>
      <c r="G2" s="8" t="s">
        <v>42</v>
      </c>
      <c r="H2" s="8" t="s">
        <v>52</v>
      </c>
      <c r="I2" s="8" t="s">
        <v>103</v>
      </c>
      <c r="J2" s="8" t="s">
        <v>59</v>
      </c>
      <c r="K2" s="7">
        <v>120</v>
      </c>
      <c r="L2" s="7" t="s">
        <v>189</v>
      </c>
      <c r="M2" s="7" t="s">
        <v>178</v>
      </c>
      <c r="N2" s="27">
        <v>249933790.33000001</v>
      </c>
      <c r="O2" s="10">
        <v>44925</v>
      </c>
      <c r="P2" s="10">
        <v>44939</v>
      </c>
      <c r="Q2" s="10">
        <v>44939</v>
      </c>
      <c r="R2" s="10">
        <v>44588</v>
      </c>
      <c r="S2" s="10">
        <v>6</v>
      </c>
      <c r="T2" s="10">
        <v>44987</v>
      </c>
      <c r="U2" s="10"/>
      <c r="V2" s="11">
        <f t="shared" ref="V2:V13" si="0">+T2+K2</f>
        <v>45107</v>
      </c>
      <c r="W2" s="11">
        <f t="shared" ref="W2:W44" si="1">+V2+Z2</f>
        <v>45152</v>
      </c>
      <c r="X2" s="11">
        <f>+V2+Y2+Z2</f>
        <v>45152</v>
      </c>
      <c r="Y2" s="7"/>
      <c r="Z2" s="7">
        <f>25+20</f>
        <v>45</v>
      </c>
      <c r="AA2" s="45">
        <f t="shared" ref="AA2:AA44" ca="1" si="2">+IF(AB2="",TODAY()-X2,AB2-X2)</f>
        <v>0</v>
      </c>
      <c r="AB2" s="10">
        <v>45152</v>
      </c>
      <c r="AC2" s="10">
        <f>+AB2+180</f>
        <v>45332</v>
      </c>
      <c r="AD2" s="10"/>
      <c r="AE2" s="38">
        <f>884649.15+1481029.06</f>
        <v>2365678.21</v>
      </c>
      <c r="AF2" s="38"/>
      <c r="AG2" s="38">
        <f>5199975.13+2375398.53+2207986.59+2837773.1</f>
        <v>12621133.35</v>
      </c>
      <c r="AH2" s="38">
        <f>297958.09+85751.74+166448.6</f>
        <v>550158.43000000005</v>
      </c>
      <c r="AI2" s="38"/>
      <c r="AJ2" s="38">
        <f t="shared" ref="AJ2:AJ31" si="3">+N2+AE2+AG2+AH2-AF2-AI2</f>
        <v>265470760.32000002</v>
      </c>
      <c r="AK2" s="38"/>
      <c r="AL2" s="38">
        <v>122803.84</v>
      </c>
      <c r="AM2" s="38"/>
      <c r="AN2" s="38"/>
      <c r="AO2" s="25"/>
      <c r="AP2" s="47"/>
      <c r="AQ2" s="26"/>
      <c r="AR2" s="57" t="s">
        <v>137</v>
      </c>
      <c r="AS2" s="23"/>
      <c r="AT2" s="23"/>
      <c r="AU2" s="23"/>
    </row>
    <row r="3" spans="1:47" s="12" customFormat="1" ht="30" customHeight="1" x14ac:dyDescent="0.25">
      <c r="A3" s="7" t="s">
        <v>166</v>
      </c>
      <c r="B3" s="7" t="s">
        <v>35</v>
      </c>
      <c r="C3" s="7" t="s">
        <v>101</v>
      </c>
      <c r="D3" s="7">
        <v>45881</v>
      </c>
      <c r="E3" s="7">
        <v>56216</v>
      </c>
      <c r="F3" s="7" t="s">
        <v>174</v>
      </c>
      <c r="G3" s="8" t="s">
        <v>115</v>
      </c>
      <c r="H3" s="8" t="s">
        <v>47</v>
      </c>
      <c r="I3" s="8" t="s">
        <v>104</v>
      </c>
      <c r="J3" s="8" t="s">
        <v>59</v>
      </c>
      <c r="K3" s="7">
        <v>15</v>
      </c>
      <c r="L3" s="7" t="s">
        <v>190</v>
      </c>
      <c r="M3" s="7" t="s">
        <v>179</v>
      </c>
      <c r="N3" s="27">
        <v>55949489.609999999</v>
      </c>
      <c r="O3" s="10">
        <v>45839</v>
      </c>
      <c r="P3" s="10">
        <v>45847</v>
      </c>
      <c r="Q3" s="10">
        <v>45839</v>
      </c>
      <c r="R3" s="10">
        <v>45854</v>
      </c>
      <c r="S3" s="7"/>
      <c r="T3" s="10">
        <v>45853</v>
      </c>
      <c r="U3" s="10">
        <v>46218</v>
      </c>
      <c r="V3" s="11">
        <f t="shared" si="0"/>
        <v>45868</v>
      </c>
      <c r="W3" s="11">
        <f t="shared" si="1"/>
        <v>45868</v>
      </c>
      <c r="X3" s="11"/>
      <c r="Y3" s="7"/>
      <c r="Z3" s="7"/>
      <c r="AA3" s="31">
        <f t="shared" ca="1" si="2"/>
        <v>46135</v>
      </c>
      <c r="AB3" s="10"/>
      <c r="AC3" s="10"/>
      <c r="AD3" s="10"/>
      <c r="AE3" s="30"/>
      <c r="AF3" s="30"/>
      <c r="AG3" s="30"/>
      <c r="AH3" s="30"/>
      <c r="AI3" s="30"/>
      <c r="AJ3" s="41">
        <f t="shared" si="3"/>
        <v>55949489.609999999</v>
      </c>
      <c r="AK3" s="30"/>
      <c r="AL3" s="30"/>
      <c r="AM3" s="30"/>
      <c r="AN3" s="30"/>
      <c r="AO3" s="25"/>
      <c r="AP3" s="32"/>
      <c r="AQ3" s="26"/>
      <c r="AR3" s="7" t="s">
        <v>141</v>
      </c>
      <c r="AS3" s="7"/>
      <c r="AT3" s="7"/>
      <c r="AU3" s="37"/>
    </row>
    <row r="4" spans="1:47" s="12" customFormat="1" ht="30" customHeight="1" x14ac:dyDescent="0.25">
      <c r="A4" s="7">
        <v>197196</v>
      </c>
      <c r="B4" s="7" t="s">
        <v>35</v>
      </c>
      <c r="C4" s="7" t="s">
        <v>101</v>
      </c>
      <c r="D4" s="7">
        <v>46196</v>
      </c>
      <c r="E4" s="7">
        <v>54422</v>
      </c>
      <c r="F4" s="7" t="s">
        <v>174</v>
      </c>
      <c r="G4" s="8" t="s">
        <v>96</v>
      </c>
      <c r="H4" s="8" t="s">
        <v>81</v>
      </c>
      <c r="I4" s="8" t="s">
        <v>57</v>
      </c>
      <c r="J4" s="8" t="s">
        <v>59</v>
      </c>
      <c r="K4" s="7">
        <v>90</v>
      </c>
      <c r="L4" s="7" t="s">
        <v>191</v>
      </c>
      <c r="M4" s="7" t="s">
        <v>180</v>
      </c>
      <c r="N4" s="27">
        <v>1515601472.4000001</v>
      </c>
      <c r="O4" s="10">
        <v>45792</v>
      </c>
      <c r="P4" s="10">
        <v>45792</v>
      </c>
      <c r="Q4" s="10">
        <v>45792</v>
      </c>
      <c r="R4" s="10">
        <v>45806</v>
      </c>
      <c r="S4" s="7" t="s">
        <v>65</v>
      </c>
      <c r="T4" s="10">
        <v>45806</v>
      </c>
      <c r="U4" s="10">
        <v>45898</v>
      </c>
      <c r="V4" s="11">
        <f t="shared" si="0"/>
        <v>45896</v>
      </c>
      <c r="W4" s="11">
        <f t="shared" si="1"/>
        <v>45896</v>
      </c>
      <c r="X4" s="11">
        <f>+V4+Z4+Y4</f>
        <v>45896</v>
      </c>
      <c r="Y4" s="7"/>
      <c r="Z4" s="7"/>
      <c r="AA4" s="31">
        <f t="shared" ca="1" si="2"/>
        <v>239</v>
      </c>
      <c r="AB4" s="10"/>
      <c r="AC4" s="10"/>
      <c r="AD4" s="10"/>
      <c r="AE4" s="30"/>
      <c r="AF4" s="30"/>
      <c r="AG4" s="30"/>
      <c r="AH4" s="30"/>
      <c r="AI4" s="30"/>
      <c r="AJ4" s="41">
        <f t="shared" si="3"/>
        <v>1515601472.4000001</v>
      </c>
      <c r="AK4" s="30"/>
      <c r="AL4" s="30"/>
      <c r="AM4" s="30"/>
      <c r="AN4" s="30"/>
      <c r="AO4" s="25"/>
      <c r="AP4" s="32"/>
      <c r="AQ4" s="26"/>
      <c r="AR4" s="7" t="s">
        <v>97</v>
      </c>
      <c r="AS4" s="7"/>
      <c r="AT4" s="7"/>
      <c r="AU4" s="37"/>
    </row>
    <row r="5" spans="1:47" s="12" customFormat="1" ht="30" customHeight="1" x14ac:dyDescent="0.25">
      <c r="A5" s="7">
        <v>136048</v>
      </c>
      <c r="B5" s="7" t="s">
        <v>34</v>
      </c>
      <c r="C5" s="7" t="s">
        <v>99</v>
      </c>
      <c r="D5" s="7">
        <v>44511</v>
      </c>
      <c r="E5" s="7">
        <v>59125</v>
      </c>
      <c r="F5" s="7" t="s">
        <v>174</v>
      </c>
      <c r="G5" s="8" t="s">
        <v>43</v>
      </c>
      <c r="H5" s="8" t="s">
        <v>44</v>
      </c>
      <c r="I5" s="8" t="s">
        <v>103</v>
      </c>
      <c r="J5" s="8" t="s">
        <v>37</v>
      </c>
      <c r="K5" s="7">
        <v>150</v>
      </c>
      <c r="L5" s="7" t="s">
        <v>192</v>
      </c>
      <c r="M5" s="7" t="s">
        <v>181</v>
      </c>
      <c r="N5" s="27">
        <v>5183961743.5900002</v>
      </c>
      <c r="O5" s="10">
        <v>45261</v>
      </c>
      <c r="P5" s="10">
        <v>45278</v>
      </c>
      <c r="Q5" s="10">
        <v>45278</v>
      </c>
      <c r="R5" s="10">
        <v>45294</v>
      </c>
      <c r="S5" s="10"/>
      <c r="T5" s="10">
        <v>45310</v>
      </c>
      <c r="U5" s="10">
        <v>45656</v>
      </c>
      <c r="V5" s="11">
        <f t="shared" si="0"/>
        <v>45460</v>
      </c>
      <c r="W5" s="11">
        <f t="shared" si="1"/>
        <v>45542</v>
      </c>
      <c r="X5" s="11">
        <f>+V5+Y5+Z5</f>
        <v>45577</v>
      </c>
      <c r="Y5" s="7">
        <v>35</v>
      </c>
      <c r="Z5" s="7">
        <f>16+30+6+30</f>
        <v>82</v>
      </c>
      <c r="AA5" s="45">
        <f t="shared" ca="1" si="2"/>
        <v>90</v>
      </c>
      <c r="AB5" s="10">
        <v>45667</v>
      </c>
      <c r="AC5" s="10">
        <v>45848</v>
      </c>
      <c r="AD5" s="10"/>
      <c r="AE5" s="38">
        <v>9407428.0199999996</v>
      </c>
      <c r="AF5" s="38">
        <v>6734235.5099999998</v>
      </c>
      <c r="AG5" s="38">
        <f>34573036.39+28959743.93</f>
        <v>63532780.32</v>
      </c>
      <c r="AH5" s="38">
        <v>5636524.3799999999</v>
      </c>
      <c r="AI5" s="38">
        <v>9762742.5199999996</v>
      </c>
      <c r="AJ5" s="38">
        <f t="shared" si="3"/>
        <v>5246041498.2799997</v>
      </c>
      <c r="AK5" s="38"/>
      <c r="AL5" s="38"/>
      <c r="AM5" s="38">
        <f ca="1">+AJ5*0.0002*AA5</f>
        <v>94428746.969040006</v>
      </c>
      <c r="AN5" s="38">
        <v>17614.580000000002</v>
      </c>
      <c r="AO5" s="25"/>
      <c r="AP5" s="32"/>
      <c r="AQ5" s="26"/>
      <c r="AR5" s="57" t="s">
        <v>116</v>
      </c>
      <c r="AS5" s="23"/>
      <c r="AT5" s="23"/>
      <c r="AU5" s="23"/>
    </row>
    <row r="6" spans="1:47" s="12" customFormat="1" ht="40.5" customHeight="1" x14ac:dyDescent="0.25">
      <c r="A6" s="7">
        <v>132098</v>
      </c>
      <c r="B6" s="7" t="s">
        <v>34</v>
      </c>
      <c r="C6" s="7" t="s">
        <v>99</v>
      </c>
      <c r="D6" s="7">
        <v>45550</v>
      </c>
      <c r="E6" s="7">
        <v>53598</v>
      </c>
      <c r="F6" s="7" t="s">
        <v>173</v>
      </c>
      <c r="G6" s="8" t="s">
        <v>74</v>
      </c>
      <c r="H6" s="8" t="s">
        <v>48</v>
      </c>
      <c r="I6" s="8" t="s">
        <v>58</v>
      </c>
      <c r="J6" s="8" t="s">
        <v>59</v>
      </c>
      <c r="K6" s="7">
        <v>210</v>
      </c>
      <c r="L6" s="7" t="s">
        <v>193</v>
      </c>
      <c r="M6" s="7" t="s">
        <v>180</v>
      </c>
      <c r="N6" s="27">
        <v>882693.28</v>
      </c>
      <c r="O6" s="10">
        <v>43462</v>
      </c>
      <c r="P6" s="10">
        <v>43478</v>
      </c>
      <c r="Q6" s="10">
        <v>43474</v>
      </c>
      <c r="R6" s="10">
        <v>43488</v>
      </c>
      <c r="S6" s="7"/>
      <c r="T6" s="10">
        <v>43469</v>
      </c>
      <c r="U6" s="10"/>
      <c r="V6" s="11">
        <f t="shared" si="0"/>
        <v>43679</v>
      </c>
      <c r="W6" s="11">
        <f t="shared" si="1"/>
        <v>43679</v>
      </c>
      <c r="X6" s="11">
        <f>+V6+Y6+Z6</f>
        <v>45880</v>
      </c>
      <c r="Y6" s="7">
        <v>2201</v>
      </c>
      <c r="Z6" s="7"/>
      <c r="AA6" s="45">
        <f t="shared" ca="1" si="2"/>
        <v>0</v>
      </c>
      <c r="AB6" s="10">
        <v>45880</v>
      </c>
      <c r="AC6" s="10">
        <v>46064</v>
      </c>
      <c r="AD6" s="10"/>
      <c r="AE6" s="9"/>
      <c r="AF6" s="9"/>
      <c r="AG6" s="46">
        <f>114861.46+797298.03+5619088.05+7212772.36</f>
        <v>13744019.9</v>
      </c>
      <c r="AH6" s="9"/>
      <c r="AI6" s="9"/>
      <c r="AJ6" s="38">
        <f t="shared" si="3"/>
        <v>14626713.18</v>
      </c>
      <c r="AK6" s="9"/>
      <c r="AL6" s="9"/>
      <c r="AM6" s="9"/>
      <c r="AN6" s="9"/>
      <c r="AO6" s="25"/>
      <c r="AP6" s="47"/>
      <c r="AQ6" s="26"/>
      <c r="AR6" s="56" t="s">
        <v>66</v>
      </c>
      <c r="AS6" s="23"/>
      <c r="AT6" s="23"/>
      <c r="AU6" s="23"/>
    </row>
    <row r="7" spans="1:47" s="12" customFormat="1" ht="30" customHeight="1" x14ac:dyDescent="0.25">
      <c r="A7" s="7">
        <v>129256</v>
      </c>
      <c r="B7" s="7" t="s">
        <v>34</v>
      </c>
      <c r="C7" s="7" t="s">
        <v>99</v>
      </c>
      <c r="D7" s="7">
        <v>44322</v>
      </c>
      <c r="E7" s="7">
        <v>55313</v>
      </c>
      <c r="F7" s="7" t="s">
        <v>173</v>
      </c>
      <c r="G7" s="8" t="s">
        <v>74</v>
      </c>
      <c r="H7" s="8" t="s">
        <v>47</v>
      </c>
      <c r="I7" s="8" t="s">
        <v>58</v>
      </c>
      <c r="J7" s="8" t="s">
        <v>59</v>
      </c>
      <c r="K7" s="7">
        <v>210</v>
      </c>
      <c r="L7" s="7" t="s">
        <v>194</v>
      </c>
      <c r="M7" s="7" t="s">
        <v>180</v>
      </c>
      <c r="N7" s="27">
        <v>998685.42</v>
      </c>
      <c r="O7" s="10">
        <v>43462</v>
      </c>
      <c r="P7" s="10">
        <v>43478</v>
      </c>
      <c r="Q7" s="10">
        <v>43474</v>
      </c>
      <c r="R7" s="10">
        <v>43488</v>
      </c>
      <c r="S7" s="7"/>
      <c r="T7" s="10">
        <v>43469</v>
      </c>
      <c r="U7" s="10"/>
      <c r="V7" s="11">
        <f t="shared" si="0"/>
        <v>43679</v>
      </c>
      <c r="W7" s="11">
        <f t="shared" si="1"/>
        <v>43679</v>
      </c>
      <c r="X7" s="11">
        <f>+V7+Y7+Z7</f>
        <v>45880</v>
      </c>
      <c r="Y7" s="7">
        <v>2201</v>
      </c>
      <c r="Z7" s="7"/>
      <c r="AA7" s="45">
        <f t="shared" ca="1" si="2"/>
        <v>0</v>
      </c>
      <c r="AB7" s="10">
        <v>45880</v>
      </c>
      <c r="AC7" s="10">
        <v>46064</v>
      </c>
      <c r="AD7" s="10"/>
      <c r="AE7" s="9"/>
      <c r="AF7" s="9"/>
      <c r="AG7" s="46">
        <f>157667.44+1120033.8+7892011.34+10156258.6</f>
        <v>19325971.18</v>
      </c>
      <c r="AH7" s="9"/>
      <c r="AI7" s="9"/>
      <c r="AJ7" s="38">
        <f t="shared" si="3"/>
        <v>20324656.600000001</v>
      </c>
      <c r="AK7" s="9"/>
      <c r="AL7" s="9"/>
      <c r="AM7" s="9"/>
      <c r="AN7" s="9"/>
      <c r="AO7" s="25"/>
      <c r="AP7" s="47"/>
      <c r="AQ7" s="26"/>
      <c r="AR7" s="56" t="s">
        <v>66</v>
      </c>
      <c r="AS7" s="23"/>
      <c r="AT7" s="23"/>
      <c r="AU7" s="23"/>
    </row>
    <row r="8" spans="1:47" s="12" customFormat="1" ht="44.25" customHeight="1" x14ac:dyDescent="0.25">
      <c r="A8" s="7">
        <v>118289</v>
      </c>
      <c r="B8" s="7" t="s">
        <v>34</v>
      </c>
      <c r="C8" s="7" t="s">
        <v>101</v>
      </c>
      <c r="D8" s="7">
        <v>46261</v>
      </c>
      <c r="E8" s="7">
        <v>50916</v>
      </c>
      <c r="F8" s="7" t="s">
        <v>173</v>
      </c>
      <c r="G8" s="8" t="s">
        <v>114</v>
      </c>
      <c r="H8" s="8" t="s">
        <v>67</v>
      </c>
      <c r="I8" s="8" t="s">
        <v>58</v>
      </c>
      <c r="J8" s="8" t="s">
        <v>59</v>
      </c>
      <c r="K8" s="7">
        <v>5</v>
      </c>
      <c r="L8" s="7" t="s">
        <v>195</v>
      </c>
      <c r="M8" s="7" t="s">
        <v>180</v>
      </c>
      <c r="N8" s="27">
        <v>1527735.43</v>
      </c>
      <c r="O8" s="10">
        <v>45869</v>
      </c>
      <c r="P8" s="10">
        <v>45883</v>
      </c>
      <c r="Q8" s="10">
        <v>45869</v>
      </c>
      <c r="R8" s="10">
        <v>45883</v>
      </c>
      <c r="S8" s="7">
        <v>10</v>
      </c>
      <c r="T8" s="10">
        <v>45898</v>
      </c>
      <c r="U8" s="10">
        <v>46023</v>
      </c>
      <c r="V8" s="11">
        <f t="shared" si="0"/>
        <v>45903</v>
      </c>
      <c r="W8" s="11">
        <f t="shared" si="1"/>
        <v>45903</v>
      </c>
      <c r="X8" s="11">
        <f>+V8+Z8+Y8</f>
        <v>45903</v>
      </c>
      <c r="Y8" s="7"/>
      <c r="Z8" s="7"/>
      <c r="AA8" s="29">
        <f t="shared" ca="1" si="2"/>
        <v>0</v>
      </c>
      <c r="AB8" s="10">
        <v>45903</v>
      </c>
      <c r="AC8" s="10">
        <v>46084</v>
      </c>
      <c r="AD8" s="10"/>
      <c r="AE8" s="38"/>
      <c r="AF8" s="38"/>
      <c r="AG8" s="48"/>
      <c r="AH8" s="38"/>
      <c r="AI8" s="38"/>
      <c r="AJ8" s="38">
        <f t="shared" si="3"/>
        <v>1527735.43</v>
      </c>
      <c r="AK8" s="38"/>
      <c r="AL8" s="38"/>
      <c r="AM8" s="38"/>
      <c r="AN8" s="38"/>
      <c r="AO8" s="41"/>
      <c r="AP8" s="41"/>
      <c r="AQ8" s="41"/>
      <c r="AR8" s="49" t="s">
        <v>66</v>
      </c>
      <c r="AS8" s="23"/>
      <c r="AT8" s="23"/>
      <c r="AU8" s="23"/>
    </row>
    <row r="9" spans="1:47" s="12" customFormat="1" ht="30" customHeight="1" x14ac:dyDescent="0.25">
      <c r="A9" s="7" t="s">
        <v>167</v>
      </c>
      <c r="B9" s="7" t="s">
        <v>34</v>
      </c>
      <c r="C9" s="7" t="s">
        <v>101</v>
      </c>
      <c r="D9" s="7">
        <v>45200</v>
      </c>
      <c r="E9" s="7">
        <v>53752</v>
      </c>
      <c r="F9" s="7" t="s">
        <v>174</v>
      </c>
      <c r="G9" s="8" t="s">
        <v>115</v>
      </c>
      <c r="H9" s="8" t="s">
        <v>131</v>
      </c>
      <c r="I9" s="8" t="s">
        <v>104</v>
      </c>
      <c r="J9" s="8" t="s">
        <v>59</v>
      </c>
      <c r="K9" s="7">
        <v>15</v>
      </c>
      <c r="L9" s="7" t="s">
        <v>196</v>
      </c>
      <c r="M9" s="7" t="s">
        <v>179</v>
      </c>
      <c r="N9" s="27">
        <v>48025752.670000002</v>
      </c>
      <c r="O9" s="10">
        <v>45839</v>
      </c>
      <c r="P9" s="10">
        <v>45847</v>
      </c>
      <c r="Q9" s="10">
        <v>45839</v>
      </c>
      <c r="R9" s="10">
        <v>45854</v>
      </c>
      <c r="S9" s="7"/>
      <c r="T9" s="10">
        <v>45854</v>
      </c>
      <c r="U9" s="10">
        <v>46218</v>
      </c>
      <c r="V9" s="11">
        <f t="shared" si="0"/>
        <v>45869</v>
      </c>
      <c r="W9" s="11">
        <f t="shared" si="1"/>
        <v>45869</v>
      </c>
      <c r="X9" s="11">
        <f>+V9+Z9+Y9</f>
        <v>45869</v>
      </c>
      <c r="Y9" s="7"/>
      <c r="Z9" s="7"/>
      <c r="AA9" s="31">
        <f t="shared" ca="1" si="2"/>
        <v>92</v>
      </c>
      <c r="AB9" s="10">
        <v>45961</v>
      </c>
      <c r="AC9" s="10">
        <v>46142</v>
      </c>
      <c r="AD9" s="10"/>
      <c r="AE9" s="30"/>
      <c r="AF9" s="30"/>
      <c r="AG9" s="30"/>
      <c r="AH9" s="30"/>
      <c r="AI9" s="30"/>
      <c r="AJ9" s="41">
        <f t="shared" si="3"/>
        <v>48025752.670000002</v>
      </c>
      <c r="AK9" s="30"/>
      <c r="AL9" s="30"/>
      <c r="AM9" s="30"/>
      <c r="AN9" s="30"/>
      <c r="AO9" s="25"/>
      <c r="AP9" s="32"/>
      <c r="AQ9" s="26"/>
      <c r="AR9" s="7" t="s">
        <v>133</v>
      </c>
      <c r="AS9" s="7"/>
      <c r="AT9" s="7"/>
      <c r="AU9" s="37"/>
    </row>
    <row r="10" spans="1:47" s="12" customFormat="1" ht="46.5" customHeight="1" x14ac:dyDescent="0.25">
      <c r="A10" s="7">
        <v>188696</v>
      </c>
      <c r="B10" s="7" t="s">
        <v>34</v>
      </c>
      <c r="C10" s="7" t="s">
        <v>99</v>
      </c>
      <c r="D10" s="7">
        <v>46574</v>
      </c>
      <c r="E10" s="7">
        <v>50525</v>
      </c>
      <c r="F10" s="7" t="s">
        <v>175</v>
      </c>
      <c r="G10" s="8" t="s">
        <v>63</v>
      </c>
      <c r="H10" s="8" t="s">
        <v>64</v>
      </c>
      <c r="I10" s="8" t="s">
        <v>103</v>
      </c>
      <c r="J10" s="8" t="s">
        <v>37</v>
      </c>
      <c r="K10" s="7">
        <v>240</v>
      </c>
      <c r="L10" s="7" t="s">
        <v>197</v>
      </c>
      <c r="M10" s="7" t="s">
        <v>181</v>
      </c>
      <c r="N10" s="27">
        <v>161044272.44999999</v>
      </c>
      <c r="O10" s="10">
        <v>45616</v>
      </c>
      <c r="P10" s="10">
        <v>45630</v>
      </c>
      <c r="Q10" s="10">
        <v>45618</v>
      </c>
      <c r="R10" s="10">
        <v>45632</v>
      </c>
      <c r="S10" s="7" t="s">
        <v>65</v>
      </c>
      <c r="T10" s="10">
        <v>45631</v>
      </c>
      <c r="U10" s="10">
        <v>45991</v>
      </c>
      <c r="V10" s="11">
        <f t="shared" si="0"/>
        <v>45871</v>
      </c>
      <c r="W10" s="11">
        <f t="shared" si="1"/>
        <v>45961</v>
      </c>
      <c r="X10" s="11">
        <f t="shared" ref="X10:X16" si="4">+V10+Y10+Z10</f>
        <v>45961</v>
      </c>
      <c r="Y10" s="7"/>
      <c r="Z10" s="7">
        <f>45+45</f>
        <v>90</v>
      </c>
      <c r="AA10" s="45">
        <f t="shared" ca="1" si="2"/>
        <v>15</v>
      </c>
      <c r="AB10" s="10">
        <v>45976</v>
      </c>
      <c r="AC10" s="10">
        <f>+Tabla1[[#This Row],[ACTA RECEP. PROVISORIA]]+180</f>
        <v>46156</v>
      </c>
      <c r="AD10" s="10"/>
      <c r="AE10" s="9">
        <f>41562370.76+1990000</f>
        <v>43552370.759999998</v>
      </c>
      <c r="AF10" s="9"/>
      <c r="AG10" s="9">
        <v>14752112.689999999</v>
      </c>
      <c r="AH10" s="9">
        <v>944656.16</v>
      </c>
      <c r="AI10" s="9"/>
      <c r="AJ10" s="38">
        <f t="shared" si="3"/>
        <v>220293412.05999997</v>
      </c>
      <c r="AK10" s="9"/>
      <c r="AL10" s="9"/>
      <c r="AM10" s="50">
        <f ca="1">+Tabla1[[#This Row],[MONTO CONTRATO ACTUALIZADO]]*0.0002*Tabla1[[#This Row],[DIAS DE ATRASO (considerando AP + LNI)]]</f>
        <v>660880.23617999989</v>
      </c>
      <c r="AN10" s="9">
        <v>96209.43</v>
      </c>
      <c r="AO10" s="25">
        <v>0.89729999999999999</v>
      </c>
      <c r="AP10" s="25"/>
      <c r="AQ10" s="26">
        <v>46008</v>
      </c>
      <c r="AR10" s="59" t="s">
        <v>139</v>
      </c>
      <c r="AS10" s="23"/>
      <c r="AT10" s="23"/>
      <c r="AU10" s="23"/>
    </row>
    <row r="11" spans="1:47" s="12" customFormat="1" ht="30" customHeight="1" x14ac:dyDescent="0.25">
      <c r="A11" s="7">
        <v>197080</v>
      </c>
      <c r="B11" s="7" t="s">
        <v>34</v>
      </c>
      <c r="C11" s="7" t="s">
        <v>101</v>
      </c>
      <c r="D11" s="7">
        <v>46533</v>
      </c>
      <c r="E11" s="7"/>
      <c r="F11" s="7" t="s">
        <v>173</v>
      </c>
      <c r="G11" s="8" t="s">
        <v>125</v>
      </c>
      <c r="H11" s="8" t="s">
        <v>37</v>
      </c>
      <c r="I11" s="8" t="s">
        <v>103</v>
      </c>
      <c r="J11" s="8" t="s">
        <v>37</v>
      </c>
      <c r="K11" s="7">
        <v>10</v>
      </c>
      <c r="L11" s="7" t="s">
        <v>198</v>
      </c>
      <c r="M11" s="7" t="s">
        <v>182</v>
      </c>
      <c r="N11" s="27">
        <v>3360035649.6900001</v>
      </c>
      <c r="O11" s="10" t="s">
        <v>108</v>
      </c>
      <c r="P11" s="10">
        <v>45980</v>
      </c>
      <c r="Q11" s="10">
        <v>45965</v>
      </c>
      <c r="R11" s="10">
        <v>45980</v>
      </c>
      <c r="S11" s="7"/>
      <c r="T11" s="10">
        <v>45975</v>
      </c>
      <c r="U11" s="10">
        <v>45992</v>
      </c>
      <c r="V11" s="11">
        <f t="shared" si="0"/>
        <v>45985</v>
      </c>
      <c r="W11" s="11">
        <f t="shared" si="1"/>
        <v>45985</v>
      </c>
      <c r="X11" s="11">
        <f t="shared" si="4"/>
        <v>45985</v>
      </c>
      <c r="Y11" s="7"/>
      <c r="Z11" s="7"/>
      <c r="AA11" s="45">
        <f t="shared" ca="1" si="2"/>
        <v>0</v>
      </c>
      <c r="AB11" s="10">
        <v>45985</v>
      </c>
      <c r="AC11" s="10">
        <v>46166</v>
      </c>
      <c r="AD11" s="10"/>
      <c r="AE11" s="9"/>
      <c r="AF11" s="9"/>
      <c r="AG11" s="9"/>
      <c r="AH11" s="9"/>
      <c r="AI11" s="9"/>
      <c r="AJ11" s="38">
        <f t="shared" si="3"/>
        <v>3360035649.6900001</v>
      </c>
      <c r="AK11" s="9"/>
      <c r="AL11" s="9"/>
      <c r="AM11" s="9"/>
      <c r="AN11" s="9"/>
      <c r="AO11" s="25"/>
      <c r="AP11" s="25"/>
      <c r="AQ11" s="26"/>
      <c r="AR11" s="49" t="s">
        <v>66</v>
      </c>
      <c r="AS11" s="23"/>
      <c r="AT11" s="23"/>
      <c r="AU11" s="23"/>
    </row>
    <row r="12" spans="1:47" s="12" customFormat="1" ht="39" customHeight="1" x14ac:dyDescent="0.25">
      <c r="A12" s="7">
        <v>171482</v>
      </c>
      <c r="B12" s="7" t="s">
        <v>34</v>
      </c>
      <c r="C12" s="7" t="s">
        <v>99</v>
      </c>
      <c r="D12" s="7">
        <v>45481</v>
      </c>
      <c r="E12" s="7">
        <v>55168</v>
      </c>
      <c r="F12" s="7" t="s">
        <v>175</v>
      </c>
      <c r="G12" s="8" t="s">
        <v>76</v>
      </c>
      <c r="H12" s="8" t="s">
        <v>77</v>
      </c>
      <c r="I12" s="8" t="s">
        <v>105</v>
      </c>
      <c r="J12" s="8" t="s">
        <v>59</v>
      </c>
      <c r="K12" s="7">
        <v>150</v>
      </c>
      <c r="L12" s="7" t="s">
        <v>199</v>
      </c>
      <c r="M12" s="7" t="s">
        <v>178</v>
      </c>
      <c r="N12" s="27">
        <v>20351670127.98</v>
      </c>
      <c r="O12" s="10">
        <v>45786</v>
      </c>
      <c r="P12" s="10">
        <v>45798</v>
      </c>
      <c r="Q12" s="10">
        <v>45786</v>
      </c>
      <c r="R12" s="10">
        <v>45800</v>
      </c>
      <c r="S12" s="7" t="s">
        <v>121</v>
      </c>
      <c r="T12" s="10">
        <v>45810</v>
      </c>
      <c r="U12" s="10">
        <v>45977</v>
      </c>
      <c r="V12" s="11">
        <f t="shared" si="0"/>
        <v>45960</v>
      </c>
      <c r="W12" s="11">
        <f t="shared" si="1"/>
        <v>45990</v>
      </c>
      <c r="X12" s="11">
        <f t="shared" si="4"/>
        <v>45990</v>
      </c>
      <c r="Y12" s="7"/>
      <c r="Z12" s="7">
        <v>30</v>
      </c>
      <c r="AA12" s="45">
        <f t="shared" ca="1" si="2"/>
        <v>0</v>
      </c>
      <c r="AB12" s="10">
        <v>45990</v>
      </c>
      <c r="AC12" s="10">
        <f>Tabla1[[#This Row],[ACTA RECEP. PROVISORIA]]+180</f>
        <v>46170</v>
      </c>
      <c r="AD12" s="10"/>
      <c r="AE12" s="9">
        <v>29014791.82</v>
      </c>
      <c r="AF12" s="9">
        <v>270147.53000000003</v>
      </c>
      <c r="AG12" s="9">
        <v>12236595.99</v>
      </c>
      <c r="AH12" s="9">
        <v>1346323.18</v>
      </c>
      <c r="AI12" s="9">
        <v>26067.919999999998</v>
      </c>
      <c r="AJ12" s="38">
        <f t="shared" si="3"/>
        <v>20393971623.520004</v>
      </c>
      <c r="AK12" s="9"/>
      <c r="AL12" s="9"/>
      <c r="AM12" s="9"/>
      <c r="AN12" s="9"/>
      <c r="AO12" s="25">
        <v>1</v>
      </c>
      <c r="AP12" s="25"/>
      <c r="AQ12" s="26">
        <v>46051</v>
      </c>
      <c r="AR12" s="49" t="s">
        <v>66</v>
      </c>
      <c r="AS12" s="23"/>
      <c r="AT12" s="23"/>
      <c r="AU12" s="23"/>
    </row>
    <row r="13" spans="1:47" s="12" customFormat="1" ht="30" customHeight="1" x14ac:dyDescent="0.25">
      <c r="A13" s="7">
        <v>111395</v>
      </c>
      <c r="B13" s="7" t="s">
        <v>35</v>
      </c>
      <c r="C13" s="7" t="s">
        <v>99</v>
      </c>
      <c r="D13" s="7">
        <v>46364</v>
      </c>
      <c r="E13" s="7">
        <v>56572</v>
      </c>
      <c r="F13" s="7" t="s">
        <v>173</v>
      </c>
      <c r="G13" s="8" t="s">
        <v>79</v>
      </c>
      <c r="H13" s="8" t="s">
        <v>78</v>
      </c>
      <c r="I13" s="8" t="s">
        <v>105</v>
      </c>
      <c r="J13" s="8" t="s">
        <v>59</v>
      </c>
      <c r="K13" s="7">
        <v>180</v>
      </c>
      <c r="L13" s="7" t="s">
        <v>200</v>
      </c>
      <c r="M13" s="7" t="s">
        <v>178</v>
      </c>
      <c r="N13" s="27">
        <v>19902212489.41</v>
      </c>
      <c r="O13" s="10">
        <v>45798</v>
      </c>
      <c r="P13" s="10">
        <v>45806</v>
      </c>
      <c r="Q13" s="10">
        <v>45798</v>
      </c>
      <c r="R13" s="10">
        <v>45812</v>
      </c>
      <c r="S13" s="7" t="s">
        <v>80</v>
      </c>
      <c r="T13" s="10">
        <v>45825</v>
      </c>
      <c r="U13" s="10">
        <v>45979</v>
      </c>
      <c r="V13" s="11">
        <f t="shared" si="0"/>
        <v>46005</v>
      </c>
      <c r="W13" s="11">
        <f t="shared" si="1"/>
        <v>46040</v>
      </c>
      <c r="X13" s="11">
        <f t="shared" si="4"/>
        <v>46083</v>
      </c>
      <c r="Y13" s="7">
        <v>43</v>
      </c>
      <c r="Z13" s="7">
        <f>25+10</f>
        <v>35</v>
      </c>
      <c r="AA13" s="45">
        <f t="shared" ca="1" si="2"/>
        <v>52</v>
      </c>
      <c r="AB13" s="10"/>
      <c r="AC13" s="10"/>
      <c r="AD13" s="10"/>
      <c r="AE13" s="9">
        <f>9442887.38+1275821.36</f>
        <v>10718708.74</v>
      </c>
      <c r="AF13" s="9"/>
      <c r="AG13" s="46"/>
      <c r="AH13" s="9"/>
      <c r="AI13" s="9"/>
      <c r="AJ13" s="38">
        <f t="shared" si="3"/>
        <v>19912931198.150002</v>
      </c>
      <c r="AK13" s="9"/>
      <c r="AL13" s="9"/>
      <c r="AM13" s="9"/>
      <c r="AN13" s="9"/>
      <c r="AO13" s="25">
        <v>0.20669999999999999</v>
      </c>
      <c r="AP13" s="25"/>
      <c r="AQ13" s="26">
        <v>45996</v>
      </c>
      <c r="AR13" s="7" t="s">
        <v>163</v>
      </c>
      <c r="AS13" s="23"/>
      <c r="AT13" s="23"/>
      <c r="AU13" s="23"/>
    </row>
    <row r="14" spans="1:47" s="12" customFormat="1" ht="30" customHeight="1" x14ac:dyDescent="0.25">
      <c r="A14" s="7">
        <v>177397</v>
      </c>
      <c r="B14" s="7" t="s">
        <v>35</v>
      </c>
      <c r="C14" s="7" t="s">
        <v>99</v>
      </c>
      <c r="D14" s="7">
        <v>44787</v>
      </c>
      <c r="E14" s="7">
        <v>54386</v>
      </c>
      <c r="F14" s="7" t="s">
        <v>175</v>
      </c>
      <c r="G14" s="8" t="s">
        <v>84</v>
      </c>
      <c r="H14" s="8" t="s">
        <v>83</v>
      </c>
      <c r="I14" s="8" t="s">
        <v>88</v>
      </c>
      <c r="J14" s="8" t="s">
        <v>37</v>
      </c>
      <c r="K14" s="7">
        <v>180</v>
      </c>
      <c r="L14" s="7" t="s">
        <v>201</v>
      </c>
      <c r="M14" s="7" t="s">
        <v>181</v>
      </c>
      <c r="N14" s="27">
        <v>124370717.77</v>
      </c>
      <c r="O14" s="10">
        <v>45846</v>
      </c>
      <c r="P14" s="10">
        <v>45849</v>
      </c>
      <c r="Q14" s="10">
        <v>45846</v>
      </c>
      <c r="R14" s="10">
        <v>45861</v>
      </c>
      <c r="S14" s="7" t="s">
        <v>65</v>
      </c>
      <c r="T14" s="10">
        <v>45861</v>
      </c>
      <c r="U14" s="10">
        <v>46112</v>
      </c>
      <c r="V14" s="11">
        <f>+Tabla1[[#This Row],[ACTA DE INICIO]]+Tabla1[[#This Row],[PLAZO DE OBRA]]</f>
        <v>46041</v>
      </c>
      <c r="W14" s="11">
        <f t="shared" si="1"/>
        <v>46087</v>
      </c>
      <c r="X14" s="11">
        <f t="shared" si="4"/>
        <v>46087</v>
      </c>
      <c r="Y14" s="7"/>
      <c r="Z14" s="7">
        <f>4+28+2+12</f>
        <v>46</v>
      </c>
      <c r="AA14" s="45">
        <f t="shared" ca="1" si="2"/>
        <v>48</v>
      </c>
      <c r="AB14" s="10"/>
      <c r="AC14" s="10"/>
      <c r="AD14" s="10"/>
      <c r="AE14" s="9">
        <f>4608000+11326011.2+8060000+943000</f>
        <v>24937011.199999999</v>
      </c>
      <c r="AF14" s="9"/>
      <c r="AG14" s="9">
        <v>13711120.699999999</v>
      </c>
      <c r="AH14" s="9">
        <v>973946.3</v>
      </c>
      <c r="AI14" s="9"/>
      <c r="AJ14" s="38">
        <f t="shared" si="3"/>
        <v>163992795.97</v>
      </c>
      <c r="AK14" s="9"/>
      <c r="AL14" s="9"/>
      <c r="AM14" s="9"/>
      <c r="AN14" s="9"/>
      <c r="AO14" s="25"/>
      <c r="AP14" s="25"/>
      <c r="AQ14" s="26">
        <v>46120</v>
      </c>
      <c r="AR14" s="49" t="s">
        <v>70</v>
      </c>
      <c r="AS14" s="23"/>
      <c r="AT14" s="23"/>
      <c r="AU14" s="23"/>
    </row>
    <row r="15" spans="1:47" s="12" customFormat="1" ht="32.25" customHeight="1" x14ac:dyDescent="0.25">
      <c r="A15" s="7">
        <v>155302</v>
      </c>
      <c r="B15" s="7" t="s">
        <v>34</v>
      </c>
      <c r="C15" s="7" t="s">
        <v>99</v>
      </c>
      <c r="D15" s="7">
        <v>46885</v>
      </c>
      <c r="E15" s="7">
        <v>51084</v>
      </c>
      <c r="F15" s="7" t="s">
        <v>175</v>
      </c>
      <c r="G15" s="8" t="s">
        <v>69</v>
      </c>
      <c r="H15" s="8" t="s">
        <v>68</v>
      </c>
      <c r="I15" s="8" t="s">
        <v>57</v>
      </c>
      <c r="J15" s="8" t="s">
        <v>59</v>
      </c>
      <c r="K15" s="7">
        <v>240</v>
      </c>
      <c r="L15" s="7" t="s">
        <v>202</v>
      </c>
      <c r="M15" s="7" t="s">
        <v>181</v>
      </c>
      <c r="N15" s="27">
        <v>63994854.460000001</v>
      </c>
      <c r="O15" s="10">
        <v>45671</v>
      </c>
      <c r="P15" s="10">
        <v>45685</v>
      </c>
      <c r="Q15" s="10">
        <v>45685</v>
      </c>
      <c r="R15" s="10">
        <v>45699</v>
      </c>
      <c r="S15" s="7"/>
      <c r="T15" s="10">
        <v>45705</v>
      </c>
      <c r="U15" s="10">
        <v>46289</v>
      </c>
      <c r="V15" s="11">
        <f t="shared" ref="V15:V23" si="5">+T15+K15</f>
        <v>45945</v>
      </c>
      <c r="W15" s="11">
        <f t="shared" si="1"/>
        <v>45945</v>
      </c>
      <c r="X15" s="11">
        <f t="shared" si="4"/>
        <v>45945</v>
      </c>
      <c r="Y15" s="7"/>
      <c r="Z15" s="7"/>
      <c r="AA15" s="45">
        <f t="shared" ca="1" si="2"/>
        <v>51</v>
      </c>
      <c r="AB15" s="10">
        <v>45996</v>
      </c>
      <c r="AC15" s="10">
        <f>+Tabla1[[#This Row],[ACTA RECEP. PROVISORIA]]+180</f>
        <v>46176</v>
      </c>
      <c r="AD15" s="10"/>
      <c r="AE15" s="9"/>
      <c r="AF15" s="9"/>
      <c r="AG15" s="46"/>
      <c r="AH15" s="9"/>
      <c r="AI15" s="9"/>
      <c r="AJ15" s="38">
        <f t="shared" si="3"/>
        <v>63994854.460000001</v>
      </c>
      <c r="AK15" s="9"/>
      <c r="AL15" s="9"/>
      <c r="AM15" s="9"/>
      <c r="AN15" s="9"/>
      <c r="AO15" s="25"/>
      <c r="AP15" s="25"/>
      <c r="AQ15" s="26"/>
      <c r="AR15" s="49" t="s">
        <v>128</v>
      </c>
      <c r="AS15" s="23"/>
      <c r="AT15" s="23"/>
      <c r="AU15" s="23"/>
    </row>
    <row r="16" spans="1:47" s="12" customFormat="1" ht="30" customHeight="1" x14ac:dyDescent="0.25">
      <c r="A16" s="7">
        <v>104165</v>
      </c>
      <c r="B16" s="7" t="s">
        <v>34</v>
      </c>
      <c r="C16" s="7" t="s">
        <v>99</v>
      </c>
      <c r="D16" s="7">
        <v>44284</v>
      </c>
      <c r="E16" s="7">
        <v>53456</v>
      </c>
      <c r="F16" s="7" t="s">
        <v>174</v>
      </c>
      <c r="G16" s="8" t="s">
        <v>61</v>
      </c>
      <c r="H16" s="8" t="s">
        <v>62</v>
      </c>
      <c r="I16" s="8" t="s">
        <v>105</v>
      </c>
      <c r="J16" s="8" t="s">
        <v>59</v>
      </c>
      <c r="K16" s="7">
        <v>270</v>
      </c>
      <c r="L16" s="7" t="s">
        <v>203</v>
      </c>
      <c r="M16" s="7" t="s">
        <v>183</v>
      </c>
      <c r="N16" s="27">
        <v>112028823.12</v>
      </c>
      <c r="O16" s="10">
        <v>45590</v>
      </c>
      <c r="P16" s="10">
        <v>45969</v>
      </c>
      <c r="Q16" s="10">
        <v>45597</v>
      </c>
      <c r="R16" s="10">
        <v>45615</v>
      </c>
      <c r="S16" s="10">
        <v>1</v>
      </c>
      <c r="T16" s="10">
        <v>45616</v>
      </c>
      <c r="U16" s="10">
        <v>46153</v>
      </c>
      <c r="V16" s="11">
        <f t="shared" si="5"/>
        <v>45886</v>
      </c>
      <c r="W16" s="11">
        <f t="shared" si="1"/>
        <v>45930</v>
      </c>
      <c r="X16" s="11">
        <f t="shared" si="4"/>
        <v>45930</v>
      </c>
      <c r="Y16" s="7"/>
      <c r="Z16" s="7">
        <f>20+24</f>
        <v>44</v>
      </c>
      <c r="AA16" s="45">
        <f t="shared" ca="1" si="2"/>
        <v>80</v>
      </c>
      <c r="AB16" s="10">
        <v>46010</v>
      </c>
      <c r="AC16" s="10">
        <f>+Tabla1[[#This Row],[ACTA RECEP. PROVISORIA]]+180</f>
        <v>46190</v>
      </c>
      <c r="AD16" s="10"/>
      <c r="AE16" s="9">
        <v>26796628.109999999</v>
      </c>
      <c r="AF16" s="9">
        <v>2668430.39</v>
      </c>
      <c r="AG16" s="9">
        <v>12043973.74</v>
      </c>
      <c r="AH16" s="9">
        <v>1415581.19</v>
      </c>
      <c r="AI16" s="9">
        <v>224285.13</v>
      </c>
      <c r="AJ16" s="38">
        <f>+N16+AE16+AG16+AH16-AF16-AI16</f>
        <v>149392290.64000005</v>
      </c>
      <c r="AK16" s="9"/>
      <c r="AL16" s="9"/>
      <c r="AM16" s="50">
        <f ca="1">+Tabla1[[#This Row],[MONTO CONTRATO ACTUALIZADO]]*0.0004*Tabla1[[#This Row],[DIAS DE ATRASO (considerando AP + LNI)]]</f>
        <v>4780553.3004800016</v>
      </c>
      <c r="AN16" s="9">
        <v>325879.78999999998</v>
      </c>
      <c r="AO16" s="25">
        <v>0.89339999999999997</v>
      </c>
      <c r="AP16" s="25">
        <v>6.3E-3</v>
      </c>
      <c r="AQ16" s="26">
        <v>46006</v>
      </c>
      <c r="AR16" s="59" t="s">
        <v>139</v>
      </c>
      <c r="AS16" s="23"/>
      <c r="AT16" s="23"/>
      <c r="AU16" s="23"/>
    </row>
    <row r="17" spans="1:48" ht="30" customHeight="1" x14ac:dyDescent="0.25">
      <c r="A17" s="7">
        <v>103905</v>
      </c>
      <c r="B17" s="7" t="s">
        <v>34</v>
      </c>
      <c r="C17" s="7" t="s">
        <v>101</v>
      </c>
      <c r="D17" s="7">
        <v>44187</v>
      </c>
      <c r="E17" s="7">
        <v>59292</v>
      </c>
      <c r="F17" s="7" t="s">
        <v>174</v>
      </c>
      <c r="G17" s="8" t="s">
        <v>94</v>
      </c>
      <c r="H17" s="8" t="s">
        <v>93</v>
      </c>
      <c r="I17" s="8" t="s">
        <v>88</v>
      </c>
      <c r="J17" s="8" t="s">
        <v>59</v>
      </c>
      <c r="K17" s="7">
        <v>330</v>
      </c>
      <c r="L17" s="7" t="s">
        <v>204</v>
      </c>
      <c r="M17" s="7" t="s">
        <v>184</v>
      </c>
      <c r="N17" s="27">
        <v>161053635594.13</v>
      </c>
      <c r="O17" s="10">
        <v>45583</v>
      </c>
      <c r="P17" s="10">
        <v>45586</v>
      </c>
      <c r="Q17" s="10"/>
      <c r="R17" s="10">
        <v>45597</v>
      </c>
      <c r="S17" s="7" t="s">
        <v>65</v>
      </c>
      <c r="T17" s="10">
        <v>45597</v>
      </c>
      <c r="U17" s="10">
        <v>46304</v>
      </c>
      <c r="V17" s="11">
        <f t="shared" si="5"/>
        <v>45927</v>
      </c>
      <c r="W17" s="11">
        <f t="shared" si="1"/>
        <v>46091</v>
      </c>
      <c r="X17" s="11">
        <f>+V17+Z17+Y17</f>
        <v>46091</v>
      </c>
      <c r="Y17" s="7"/>
      <c r="Z17" s="7">
        <f>44+27+56+16+21</f>
        <v>164</v>
      </c>
      <c r="AA17" s="31">
        <f t="shared" ca="1" si="2"/>
        <v>0</v>
      </c>
      <c r="AB17" s="10">
        <v>46091</v>
      </c>
      <c r="AC17" s="10">
        <f>+Tabla1[[#This Row],[ACTA RECEP. PROVISORIA]]+180</f>
        <v>46271</v>
      </c>
      <c r="AD17" s="10"/>
      <c r="AE17" s="30">
        <f>27124655+18104741.75+34903690.7+21564358</f>
        <v>101697445.45</v>
      </c>
      <c r="AF17" s="30"/>
      <c r="AG17" s="30">
        <f>95392714.52+54452953.81+35934218.69</f>
        <v>185779887.01999998</v>
      </c>
      <c r="AH17" s="30">
        <f>977808.82+740936.06+2158937.29+2529244.43+4363409.83</f>
        <v>10770336.43</v>
      </c>
      <c r="AI17" s="30"/>
      <c r="AJ17" s="41">
        <f t="shared" si="3"/>
        <v>161351883263.03</v>
      </c>
      <c r="AK17" s="30"/>
      <c r="AL17" s="30"/>
      <c r="AM17" s="30"/>
      <c r="AN17" s="30"/>
      <c r="AO17" s="25">
        <v>0.96309999999999996</v>
      </c>
      <c r="AP17" s="32">
        <v>6.4899999999999999E-2</v>
      </c>
      <c r="AQ17" s="26">
        <v>46122</v>
      </c>
      <c r="AR17" s="49" t="s">
        <v>66</v>
      </c>
      <c r="AS17" s="7"/>
      <c r="AT17" s="7"/>
      <c r="AU17" s="37"/>
      <c r="AV17" s="33"/>
    </row>
    <row r="18" spans="1:48" ht="30" customHeight="1" x14ac:dyDescent="0.25">
      <c r="A18" s="7">
        <v>112280</v>
      </c>
      <c r="B18" s="7" t="s">
        <v>34</v>
      </c>
      <c r="C18" s="7" t="s">
        <v>99</v>
      </c>
      <c r="D18" s="7">
        <v>46708</v>
      </c>
      <c r="E18" s="7">
        <v>55155</v>
      </c>
      <c r="F18" s="7" t="s">
        <v>174</v>
      </c>
      <c r="G18" s="8" t="s">
        <v>118</v>
      </c>
      <c r="H18" s="8" t="s">
        <v>119</v>
      </c>
      <c r="I18" s="8" t="s">
        <v>103</v>
      </c>
      <c r="J18" s="8" t="s">
        <v>37</v>
      </c>
      <c r="K18" s="7">
        <v>90</v>
      </c>
      <c r="L18" s="7" t="s">
        <v>205</v>
      </c>
      <c r="M18" s="7" t="s">
        <v>181</v>
      </c>
      <c r="N18" s="27">
        <v>634301772.39999998</v>
      </c>
      <c r="O18" s="10">
        <v>45887</v>
      </c>
      <c r="P18" s="10">
        <v>45889</v>
      </c>
      <c r="Q18" s="10">
        <v>45887</v>
      </c>
      <c r="R18" s="10">
        <v>45901</v>
      </c>
      <c r="S18" s="7" t="s">
        <v>38</v>
      </c>
      <c r="T18" s="10">
        <v>45908</v>
      </c>
      <c r="U18" s="10">
        <v>45986</v>
      </c>
      <c r="V18" s="11">
        <f t="shared" si="5"/>
        <v>45998</v>
      </c>
      <c r="W18" s="11">
        <f t="shared" si="1"/>
        <v>46008</v>
      </c>
      <c r="X18" s="11">
        <f>+V18+Z18+Y18</f>
        <v>46008</v>
      </c>
      <c r="Y18" s="7"/>
      <c r="Z18" s="7">
        <v>10</v>
      </c>
      <c r="AA18" s="29">
        <f t="shared" ca="1" si="2"/>
        <v>0</v>
      </c>
      <c r="AB18" s="10">
        <v>46008</v>
      </c>
      <c r="AC18" s="10">
        <v>46190</v>
      </c>
      <c r="AD18" s="10"/>
      <c r="AE18" s="30">
        <v>11791882.85</v>
      </c>
      <c r="AF18" s="30"/>
      <c r="AG18" s="30">
        <v>3618732.35</v>
      </c>
      <c r="AH18" s="30">
        <v>123566.76</v>
      </c>
      <c r="AI18" s="30"/>
      <c r="AJ18" s="38">
        <f t="shared" si="3"/>
        <v>649835954.36000001</v>
      </c>
      <c r="AK18" s="30"/>
      <c r="AL18" s="30"/>
      <c r="AM18" s="30"/>
      <c r="AN18" s="30"/>
      <c r="AO18" s="25">
        <v>0.79369999999999996</v>
      </c>
      <c r="AP18" s="25">
        <v>0.11509999999999999</v>
      </c>
      <c r="AQ18" s="10">
        <v>45996</v>
      </c>
      <c r="AR18" s="49" t="s">
        <v>66</v>
      </c>
      <c r="AS18" s="7"/>
      <c r="AT18" s="7"/>
      <c r="AU18" s="37"/>
      <c r="AV18" s="33"/>
    </row>
    <row r="19" spans="1:48" ht="40.5" customHeight="1" x14ac:dyDescent="0.25">
      <c r="A19" s="7">
        <v>128657</v>
      </c>
      <c r="B19" s="7" t="s">
        <v>34</v>
      </c>
      <c r="C19" s="7" t="s">
        <v>99</v>
      </c>
      <c r="D19" s="7">
        <v>44933</v>
      </c>
      <c r="E19" s="7">
        <v>53483</v>
      </c>
      <c r="F19" s="7" t="s">
        <v>174</v>
      </c>
      <c r="G19" s="8" t="s">
        <v>72</v>
      </c>
      <c r="H19" s="8" t="s">
        <v>73</v>
      </c>
      <c r="I19" s="8" t="s">
        <v>105</v>
      </c>
      <c r="J19" s="8" t="s">
        <v>59</v>
      </c>
      <c r="K19" s="7">
        <v>180</v>
      </c>
      <c r="L19" s="7" t="s">
        <v>206</v>
      </c>
      <c r="M19" s="7" t="s">
        <v>183</v>
      </c>
      <c r="N19" s="27">
        <v>112774507.8</v>
      </c>
      <c r="O19" s="10">
        <v>45722</v>
      </c>
      <c r="P19" s="10">
        <v>45734</v>
      </c>
      <c r="Q19" s="10">
        <v>45722</v>
      </c>
      <c r="R19" s="10">
        <v>45736</v>
      </c>
      <c r="S19" s="7" t="s">
        <v>112</v>
      </c>
      <c r="T19" s="10">
        <v>45748</v>
      </c>
      <c r="U19" s="10">
        <v>46021</v>
      </c>
      <c r="V19" s="11">
        <f t="shared" si="5"/>
        <v>45928</v>
      </c>
      <c r="W19" s="11">
        <f t="shared" si="1"/>
        <v>45990</v>
      </c>
      <c r="X19" s="11">
        <f>+V19+Y19+Z19</f>
        <v>45990</v>
      </c>
      <c r="Y19" s="7"/>
      <c r="Z19" s="7">
        <f>24+17+21</f>
        <v>62</v>
      </c>
      <c r="AA19" s="45">
        <f t="shared" ca="1" si="2"/>
        <v>20</v>
      </c>
      <c r="AB19" s="10">
        <v>46010</v>
      </c>
      <c r="AC19" s="10">
        <v>46192</v>
      </c>
      <c r="AD19" s="10"/>
      <c r="AE19" s="9">
        <f>14240000+3497116.28</f>
        <v>17737116.280000001</v>
      </c>
      <c r="AF19" s="9"/>
      <c r="AG19" s="9">
        <v>13277274.91</v>
      </c>
      <c r="AH19" s="9">
        <v>298370.78999999998</v>
      </c>
      <c r="AI19" s="9"/>
      <c r="AJ19" s="38">
        <f t="shared" si="3"/>
        <v>144087269.78</v>
      </c>
      <c r="AK19" s="9"/>
      <c r="AL19" s="9"/>
      <c r="AM19" s="50">
        <f ca="1">+Tabla1[[#This Row],[MONTO CONTRATO ACTUALIZADO]]*0.0004*Tabla1[[#This Row],[DIAS DE ATRASO (considerando AP + LNI)]]</f>
        <v>1152698.15824</v>
      </c>
      <c r="AN19" s="9"/>
      <c r="AO19" s="25">
        <v>0.9073</v>
      </c>
      <c r="AP19" s="25"/>
      <c r="AQ19" s="26">
        <v>46031</v>
      </c>
      <c r="AR19" s="58" t="s">
        <v>144</v>
      </c>
      <c r="AS19" s="23"/>
      <c r="AT19" s="23"/>
      <c r="AU19" s="23"/>
      <c r="AV19" s="12"/>
    </row>
    <row r="20" spans="1:48" ht="30" customHeight="1" x14ac:dyDescent="0.25">
      <c r="A20" s="7">
        <v>130495</v>
      </c>
      <c r="B20" s="7" t="s">
        <v>35</v>
      </c>
      <c r="C20" s="7" t="s">
        <v>99</v>
      </c>
      <c r="D20" s="7">
        <v>45185</v>
      </c>
      <c r="E20" s="7">
        <v>58179</v>
      </c>
      <c r="F20" s="7" t="s">
        <v>175</v>
      </c>
      <c r="G20" s="8" t="s">
        <v>82</v>
      </c>
      <c r="H20" s="8" t="s">
        <v>81</v>
      </c>
      <c r="I20" s="8" t="s">
        <v>103</v>
      </c>
      <c r="J20" s="8" t="s">
        <v>59</v>
      </c>
      <c r="K20" s="7">
        <v>210</v>
      </c>
      <c r="L20" s="7" t="s">
        <v>207</v>
      </c>
      <c r="M20" s="7" t="s">
        <v>178</v>
      </c>
      <c r="N20" s="27">
        <v>19094671551.099998</v>
      </c>
      <c r="O20" s="10">
        <v>45834</v>
      </c>
      <c r="P20" s="10">
        <v>45842</v>
      </c>
      <c r="Q20" s="10">
        <v>45834</v>
      </c>
      <c r="R20" s="10">
        <v>45849</v>
      </c>
      <c r="S20" s="7" t="s">
        <v>122</v>
      </c>
      <c r="T20" s="10">
        <v>45881</v>
      </c>
      <c r="U20" s="10">
        <v>46079</v>
      </c>
      <c r="V20" s="11">
        <f t="shared" si="5"/>
        <v>46091</v>
      </c>
      <c r="W20" s="11">
        <f t="shared" si="1"/>
        <v>46121</v>
      </c>
      <c r="X20" s="11">
        <f>+V20+Y20+Z20</f>
        <v>46141</v>
      </c>
      <c r="Y20" s="7">
        <v>20</v>
      </c>
      <c r="Z20" s="7">
        <v>30</v>
      </c>
      <c r="AA20" s="45">
        <f t="shared" ca="1" si="2"/>
        <v>-6</v>
      </c>
      <c r="AB20" s="10"/>
      <c r="AC20" s="10"/>
      <c r="AD20" s="10"/>
      <c r="AE20" s="9">
        <v>10766648.52</v>
      </c>
      <c r="AF20" s="9"/>
      <c r="AG20" s="9">
        <v>13165127.369999999</v>
      </c>
      <c r="AH20" s="9">
        <v>726411.23</v>
      </c>
      <c r="AI20" s="9"/>
      <c r="AJ20" s="38">
        <f t="shared" si="3"/>
        <v>19119329738.219997</v>
      </c>
      <c r="AK20" s="9"/>
      <c r="AL20" s="9"/>
      <c r="AM20" s="9"/>
      <c r="AN20" s="9"/>
      <c r="AO20" s="25">
        <v>0.89990000000000003</v>
      </c>
      <c r="AP20" s="25"/>
      <c r="AQ20" s="26">
        <v>46128</v>
      </c>
      <c r="AR20" s="49" t="s">
        <v>70</v>
      </c>
      <c r="AS20" s="23"/>
      <c r="AT20" s="23"/>
      <c r="AU20" s="23"/>
      <c r="AV20" s="33"/>
    </row>
    <row r="21" spans="1:48" ht="30" customHeight="1" x14ac:dyDescent="0.25">
      <c r="A21" s="7">
        <v>166237</v>
      </c>
      <c r="B21" s="7" t="s">
        <v>35</v>
      </c>
      <c r="C21" s="7" t="s">
        <v>101</v>
      </c>
      <c r="D21" s="7">
        <v>44326</v>
      </c>
      <c r="E21" s="7">
        <v>56482</v>
      </c>
      <c r="F21" s="7" t="s">
        <v>175</v>
      </c>
      <c r="G21" s="8" t="s">
        <v>95</v>
      </c>
      <c r="H21" s="8" t="s">
        <v>90</v>
      </c>
      <c r="I21" s="8" t="s">
        <v>88</v>
      </c>
      <c r="J21" s="8" t="s">
        <v>59</v>
      </c>
      <c r="K21" s="7">
        <v>300</v>
      </c>
      <c r="L21" s="7" t="s">
        <v>208</v>
      </c>
      <c r="M21" s="7" t="s">
        <v>179</v>
      </c>
      <c r="N21" s="27">
        <v>1218780222.4200001</v>
      </c>
      <c r="O21" s="10">
        <v>45691</v>
      </c>
      <c r="P21" s="10">
        <v>45695</v>
      </c>
      <c r="Q21" s="10">
        <v>45691</v>
      </c>
      <c r="R21" s="10">
        <v>45705</v>
      </c>
      <c r="S21" s="7" t="s">
        <v>65</v>
      </c>
      <c r="T21" s="10">
        <v>45705</v>
      </c>
      <c r="U21" s="10">
        <v>46148</v>
      </c>
      <c r="V21" s="11">
        <f t="shared" si="5"/>
        <v>46005</v>
      </c>
      <c r="W21" s="11">
        <f t="shared" si="1"/>
        <v>46109</v>
      </c>
      <c r="X21" s="11">
        <f>+V21+Z21+Y21</f>
        <v>46109</v>
      </c>
      <c r="Y21" s="7"/>
      <c r="Z21" s="7">
        <f>50+15+31+8</f>
        <v>104</v>
      </c>
      <c r="AA21" s="31">
        <f t="shared" ca="1" si="2"/>
        <v>26</v>
      </c>
      <c r="AB21" s="10"/>
      <c r="AC21" s="10"/>
      <c r="AD21" s="10"/>
      <c r="AE21" s="30">
        <v>6789850</v>
      </c>
      <c r="AF21" s="30"/>
      <c r="AG21" s="30">
        <f>99520837.08+60583607.57</f>
        <v>160104444.65000001</v>
      </c>
      <c r="AH21" s="30"/>
      <c r="AI21" s="30"/>
      <c r="AJ21" s="41">
        <f t="shared" si="3"/>
        <v>1385674517.0700002</v>
      </c>
      <c r="AK21" s="30"/>
      <c r="AL21" s="30"/>
      <c r="AM21" s="30"/>
      <c r="AN21" s="30">
        <v>216425.96</v>
      </c>
      <c r="AO21" s="25">
        <v>0.96399999999999997</v>
      </c>
      <c r="AP21" s="32">
        <v>4.0599999999999997E-2</v>
      </c>
      <c r="AQ21" s="26">
        <v>46121</v>
      </c>
      <c r="AR21" s="7" t="s">
        <v>87</v>
      </c>
      <c r="AS21" s="7"/>
      <c r="AT21" s="7"/>
      <c r="AU21" s="37"/>
    </row>
    <row r="22" spans="1:48" ht="71.25" customHeight="1" x14ac:dyDescent="0.25">
      <c r="A22" s="7" t="s">
        <v>168</v>
      </c>
      <c r="B22" s="7" t="s">
        <v>35</v>
      </c>
      <c r="C22" s="7" t="s">
        <v>99</v>
      </c>
      <c r="D22" s="7">
        <v>44953</v>
      </c>
      <c r="E22" s="7"/>
      <c r="F22" s="7" t="s">
        <v>174</v>
      </c>
      <c r="G22" s="8" t="s">
        <v>142</v>
      </c>
      <c r="H22" s="8" t="s">
        <v>93</v>
      </c>
      <c r="I22" s="8" t="s">
        <v>104</v>
      </c>
      <c r="J22" s="8" t="s">
        <v>59</v>
      </c>
      <c r="K22" s="7">
        <v>20</v>
      </c>
      <c r="L22" s="7" t="s">
        <v>209</v>
      </c>
      <c r="M22" s="7" t="s">
        <v>180</v>
      </c>
      <c r="N22" s="61">
        <v>545501418.32000005</v>
      </c>
      <c r="O22" s="10">
        <v>46077</v>
      </c>
      <c r="P22" s="10">
        <v>46085</v>
      </c>
      <c r="Q22" s="10">
        <v>46048</v>
      </c>
      <c r="R22" s="10">
        <v>46091</v>
      </c>
      <c r="S22" s="7"/>
      <c r="T22" s="10">
        <v>46091</v>
      </c>
      <c r="U22" s="10"/>
      <c r="V22" s="11">
        <f t="shared" si="5"/>
        <v>46111</v>
      </c>
      <c r="W22" s="11">
        <f t="shared" si="1"/>
        <v>46111</v>
      </c>
      <c r="X22" s="11">
        <f>+V22+Z22+Y22</f>
        <v>46111</v>
      </c>
      <c r="Y22" s="7"/>
      <c r="Z22" s="7"/>
      <c r="AA22" s="31">
        <f t="shared" ca="1" si="2"/>
        <v>24</v>
      </c>
      <c r="AB22" s="10"/>
      <c r="AC22" s="10"/>
      <c r="AD22" s="10"/>
      <c r="AE22" s="30"/>
      <c r="AF22" s="30"/>
      <c r="AG22" s="30"/>
      <c r="AH22" s="30"/>
      <c r="AI22" s="30"/>
      <c r="AJ22" s="41">
        <f t="shared" si="3"/>
        <v>545501418.32000005</v>
      </c>
      <c r="AK22" s="30"/>
      <c r="AL22" s="30"/>
      <c r="AM22" s="30"/>
      <c r="AN22" s="30"/>
      <c r="AO22" s="25"/>
      <c r="AP22" s="25"/>
      <c r="AQ22" s="26"/>
      <c r="AR22" s="7" t="s">
        <v>87</v>
      </c>
      <c r="AS22" s="7"/>
      <c r="AT22" s="7"/>
      <c r="AU22" s="60"/>
      <c r="AV22" s="12"/>
    </row>
    <row r="23" spans="1:48" ht="30" customHeight="1" x14ac:dyDescent="0.25">
      <c r="A23" s="7">
        <v>173563</v>
      </c>
      <c r="B23" s="7" t="s">
        <v>35</v>
      </c>
      <c r="C23" s="7" t="s">
        <v>101</v>
      </c>
      <c r="D23" s="7">
        <v>44413</v>
      </c>
      <c r="E23" s="7"/>
      <c r="F23" s="7" t="s">
        <v>173</v>
      </c>
      <c r="G23" s="8" t="s">
        <v>140</v>
      </c>
      <c r="H23" s="8" t="s">
        <v>71</v>
      </c>
      <c r="I23" s="8" t="s">
        <v>103</v>
      </c>
      <c r="J23" s="8" t="s">
        <v>37</v>
      </c>
      <c r="K23" s="7">
        <v>60</v>
      </c>
      <c r="L23" s="7" t="s">
        <v>210</v>
      </c>
      <c r="M23" s="7" t="s">
        <v>183</v>
      </c>
      <c r="N23" s="61">
        <v>56629472.009999998</v>
      </c>
      <c r="O23" s="10">
        <v>46048</v>
      </c>
      <c r="P23" s="10">
        <v>46049</v>
      </c>
      <c r="Q23" s="10">
        <v>46048</v>
      </c>
      <c r="R23" s="10">
        <v>46062</v>
      </c>
      <c r="S23" s="7">
        <v>3</v>
      </c>
      <c r="T23" s="10">
        <v>46065</v>
      </c>
      <c r="U23" s="10"/>
      <c r="V23" s="11">
        <f t="shared" si="5"/>
        <v>46125</v>
      </c>
      <c r="W23" s="11">
        <f t="shared" si="1"/>
        <v>46145</v>
      </c>
      <c r="X23" s="11">
        <f>+V23+Z23+Y23</f>
        <v>46145</v>
      </c>
      <c r="Y23" s="7"/>
      <c r="Z23" s="7">
        <v>20</v>
      </c>
      <c r="AA23" s="31">
        <f t="shared" ca="1" si="2"/>
        <v>-10</v>
      </c>
      <c r="AB23" s="10"/>
      <c r="AC23" s="10"/>
      <c r="AD23" s="10"/>
      <c r="AE23" s="30">
        <v>13064975.43</v>
      </c>
      <c r="AF23" s="30"/>
      <c r="AG23" s="30"/>
      <c r="AH23" s="30"/>
      <c r="AI23" s="30"/>
      <c r="AJ23" s="41">
        <f t="shared" si="3"/>
        <v>69694447.439999998</v>
      </c>
      <c r="AK23" s="30"/>
      <c r="AL23" s="30"/>
      <c r="AM23" s="30"/>
      <c r="AN23" s="30"/>
      <c r="AO23" s="25">
        <v>0.26179999999999998</v>
      </c>
      <c r="AP23" s="25">
        <v>0.26179999999999998</v>
      </c>
      <c r="AQ23" s="26">
        <v>46092</v>
      </c>
      <c r="AR23" s="7" t="s">
        <v>165</v>
      </c>
      <c r="AS23" s="7"/>
      <c r="AT23" s="7"/>
      <c r="AU23" s="60"/>
    </row>
    <row r="24" spans="1:48" ht="30" customHeight="1" x14ac:dyDescent="0.25">
      <c r="A24" s="7">
        <v>126062</v>
      </c>
      <c r="B24" s="7" t="s">
        <v>34</v>
      </c>
      <c r="C24" s="7" t="s">
        <v>101</v>
      </c>
      <c r="D24" s="7">
        <v>45556</v>
      </c>
      <c r="E24" s="7">
        <v>57517</v>
      </c>
      <c r="F24" s="7" t="s">
        <v>174</v>
      </c>
      <c r="G24" s="8" t="s">
        <v>120</v>
      </c>
      <c r="H24" s="8" t="s">
        <v>60</v>
      </c>
      <c r="I24" s="8" t="s">
        <v>103</v>
      </c>
      <c r="J24" s="8" t="s">
        <v>59</v>
      </c>
      <c r="K24" s="7">
        <v>90</v>
      </c>
      <c r="L24" s="7" t="s">
        <v>211</v>
      </c>
      <c r="M24" s="7" t="s">
        <v>182</v>
      </c>
      <c r="N24" s="27">
        <v>3379238390.1500001</v>
      </c>
      <c r="O24" s="10">
        <v>45908</v>
      </c>
      <c r="P24" s="10">
        <v>45909</v>
      </c>
      <c r="Q24" s="10">
        <v>45908</v>
      </c>
      <c r="R24" s="10">
        <v>45922</v>
      </c>
      <c r="S24" s="7" t="s">
        <v>110</v>
      </c>
      <c r="T24" s="10">
        <v>45925</v>
      </c>
      <c r="U24" s="10">
        <v>46010</v>
      </c>
      <c r="V24" s="11">
        <f>+Tabla1[[#This Row],[ACTA DE INICIO]]+Tabla1[[#This Row],[PLAZO DE OBRA]]</f>
        <v>46015</v>
      </c>
      <c r="W24" s="11">
        <f t="shared" si="1"/>
        <v>46015</v>
      </c>
      <c r="X24" s="11">
        <f>+V24+Y24+Z24</f>
        <v>46015</v>
      </c>
      <c r="Y24" s="7"/>
      <c r="Z24" s="7"/>
      <c r="AA24" s="31">
        <f t="shared" ca="1" si="2"/>
        <v>-3</v>
      </c>
      <c r="AB24" s="10">
        <v>46012</v>
      </c>
      <c r="AC24" s="10">
        <f>+Tabla1[[#This Row],[ACTA RECEP. PROVISORIA]]+180</f>
        <v>46192</v>
      </c>
      <c r="AD24" s="10"/>
      <c r="AE24" s="30"/>
      <c r="AF24" s="30"/>
      <c r="AG24" s="30">
        <v>2565243.1</v>
      </c>
      <c r="AH24" s="30"/>
      <c r="AI24" s="30"/>
      <c r="AJ24" s="41">
        <f t="shared" si="3"/>
        <v>3381803633.25</v>
      </c>
      <c r="AK24" s="30"/>
      <c r="AL24" s="30"/>
      <c r="AM24" s="30"/>
      <c r="AN24" s="30"/>
      <c r="AO24" s="25">
        <v>0.9375</v>
      </c>
      <c r="AP24" s="25">
        <v>0.17910000000000001</v>
      </c>
      <c r="AQ24" s="26">
        <v>45994</v>
      </c>
      <c r="AR24" s="49" t="s">
        <v>136</v>
      </c>
      <c r="AS24" s="7"/>
      <c r="AT24" s="7"/>
      <c r="AU24" s="37"/>
    </row>
    <row r="25" spans="1:48" ht="30" customHeight="1" x14ac:dyDescent="0.25">
      <c r="A25" s="7" t="s">
        <v>169</v>
      </c>
      <c r="B25" s="7" t="s">
        <v>34</v>
      </c>
      <c r="C25" s="7" t="s">
        <v>99</v>
      </c>
      <c r="D25" s="7">
        <v>45138</v>
      </c>
      <c r="E25" s="7">
        <v>52340</v>
      </c>
      <c r="F25" s="7" t="s">
        <v>173</v>
      </c>
      <c r="G25" s="8" t="s">
        <v>132</v>
      </c>
      <c r="H25" s="8" t="s">
        <v>91</v>
      </c>
      <c r="I25" s="8" t="s">
        <v>104</v>
      </c>
      <c r="J25" s="8" t="s">
        <v>59</v>
      </c>
      <c r="K25" s="7">
        <v>20</v>
      </c>
      <c r="L25" s="7" t="s">
        <v>212</v>
      </c>
      <c r="M25" s="23" t="s">
        <v>183</v>
      </c>
      <c r="N25" s="27">
        <v>561040063.98000002</v>
      </c>
      <c r="O25" s="10">
        <v>46003</v>
      </c>
      <c r="P25" s="10">
        <v>46003</v>
      </c>
      <c r="Q25" s="10">
        <v>46003</v>
      </c>
      <c r="R25" s="10">
        <v>46021</v>
      </c>
      <c r="S25" s="7"/>
      <c r="T25" s="10">
        <v>46021</v>
      </c>
      <c r="U25" s="10"/>
      <c r="V25" s="11">
        <f>+T25+K25</f>
        <v>46041</v>
      </c>
      <c r="W25" s="11">
        <f t="shared" si="1"/>
        <v>46041</v>
      </c>
      <c r="X25" s="11">
        <f>+V25+Z25+Y25</f>
        <v>46041</v>
      </c>
      <c r="Y25" s="7"/>
      <c r="Z25" s="7"/>
      <c r="AA25" s="29">
        <f t="shared" ca="1" si="2"/>
        <v>-5</v>
      </c>
      <c r="AB25" s="10">
        <v>46036</v>
      </c>
      <c r="AC25" s="10">
        <v>46217</v>
      </c>
      <c r="AD25" s="28"/>
      <c r="AE25" s="9"/>
      <c r="AF25" s="9"/>
      <c r="AG25" s="9"/>
      <c r="AH25" s="9"/>
      <c r="AI25" s="9"/>
      <c r="AJ25" s="41">
        <f t="shared" si="3"/>
        <v>561040063.98000002</v>
      </c>
      <c r="AK25" s="9"/>
      <c r="AL25" s="9"/>
      <c r="AM25" s="9"/>
      <c r="AN25" s="9"/>
      <c r="AO25" s="25"/>
      <c r="AP25" s="25"/>
      <c r="AQ25" s="26"/>
      <c r="AR25" s="49" t="s">
        <v>66</v>
      </c>
      <c r="AS25" s="7"/>
      <c r="AT25" s="7"/>
      <c r="AU25" s="7"/>
      <c r="AV25" s="12"/>
    </row>
    <row r="26" spans="1:48" ht="53.25" customHeight="1" x14ac:dyDescent="0.25">
      <c r="A26" s="7">
        <v>154987</v>
      </c>
      <c r="B26" s="7" t="s">
        <v>35</v>
      </c>
      <c r="C26" s="7" t="s">
        <v>100</v>
      </c>
      <c r="D26" s="7">
        <v>45857</v>
      </c>
      <c r="E26" s="7">
        <v>11542</v>
      </c>
      <c r="F26" s="7" t="s">
        <v>173</v>
      </c>
      <c r="G26" s="8" t="s">
        <v>92</v>
      </c>
      <c r="H26" s="8" t="s">
        <v>91</v>
      </c>
      <c r="I26" s="8" t="s">
        <v>106</v>
      </c>
      <c r="J26" s="8" t="s">
        <v>59</v>
      </c>
      <c r="K26" s="7">
        <v>420</v>
      </c>
      <c r="L26" s="7" t="s">
        <v>213</v>
      </c>
      <c r="M26" s="23" t="s">
        <v>184</v>
      </c>
      <c r="N26" s="27">
        <v>150069514993.14999</v>
      </c>
      <c r="O26" s="10">
        <v>45618</v>
      </c>
      <c r="P26" s="10">
        <v>45621</v>
      </c>
      <c r="Q26" s="10"/>
      <c r="R26" s="10">
        <v>45632</v>
      </c>
      <c r="S26" s="7"/>
      <c r="T26" s="28">
        <v>45630</v>
      </c>
      <c r="U26" s="10">
        <v>46081</v>
      </c>
      <c r="V26" s="11">
        <f>T26+K26</f>
        <v>46050</v>
      </c>
      <c r="W26" s="11">
        <f t="shared" si="1"/>
        <v>46125</v>
      </c>
      <c r="X26" s="11">
        <f>+V26+Y26+Z26</f>
        <v>46125</v>
      </c>
      <c r="Y26" s="7"/>
      <c r="Z26" s="7">
        <f>16+16+30+13</f>
        <v>75</v>
      </c>
      <c r="AA26" s="29">
        <f t="shared" ca="1" si="2"/>
        <v>10</v>
      </c>
      <c r="AB26" s="28"/>
      <c r="AC26" s="28"/>
      <c r="AD26" s="28"/>
      <c r="AE26" s="9">
        <f>67037456.03+22941449.52</f>
        <v>89978905.549999997</v>
      </c>
      <c r="AF26" s="9">
        <v>8032353.3600000003</v>
      </c>
      <c r="AG26" s="9">
        <f>105486675.44+100866836.17+91185351.65</f>
        <v>297538863.25999999</v>
      </c>
      <c r="AH26" s="9">
        <f>384256.18+40763.87+2950412.42</f>
        <v>3375432.4699999997</v>
      </c>
      <c r="AI26" s="9">
        <v>1929393.04</v>
      </c>
      <c r="AJ26" s="41">
        <f t="shared" si="3"/>
        <v>150450446448.03</v>
      </c>
      <c r="AK26" s="9"/>
      <c r="AL26" s="9"/>
      <c r="AM26" s="9"/>
      <c r="AN26" s="9"/>
      <c r="AO26" s="25">
        <v>0.92430000000000001</v>
      </c>
      <c r="AP26" s="25">
        <v>7.0199999999999999E-2</v>
      </c>
      <c r="AQ26" s="26">
        <v>46085</v>
      </c>
      <c r="AR26" s="7" t="s">
        <v>162</v>
      </c>
      <c r="AS26" s="7"/>
      <c r="AT26" s="7"/>
      <c r="AU26" s="7"/>
      <c r="AV26" s="12"/>
    </row>
    <row r="27" spans="1:48" ht="30" customHeight="1" x14ac:dyDescent="0.25">
      <c r="A27" s="7">
        <v>128893</v>
      </c>
      <c r="B27" s="7" t="s">
        <v>35</v>
      </c>
      <c r="C27" s="7" t="s">
        <v>100</v>
      </c>
      <c r="D27" s="42">
        <v>46603</v>
      </c>
      <c r="E27" s="7">
        <v>11285</v>
      </c>
      <c r="F27" s="7" t="s">
        <v>174</v>
      </c>
      <c r="G27" s="8" t="s">
        <v>111</v>
      </c>
      <c r="H27" s="8" t="s">
        <v>126</v>
      </c>
      <c r="I27" s="8" t="s">
        <v>103</v>
      </c>
      <c r="J27" s="8" t="s">
        <v>59</v>
      </c>
      <c r="K27" s="7">
        <v>120</v>
      </c>
      <c r="L27" s="7" t="s">
        <v>214</v>
      </c>
      <c r="M27" s="7" t="s">
        <v>185</v>
      </c>
      <c r="N27" s="27">
        <v>21713508430.419998</v>
      </c>
      <c r="O27" s="10">
        <v>45966</v>
      </c>
      <c r="P27" s="10">
        <v>45968</v>
      </c>
      <c r="Q27" s="10">
        <v>45966</v>
      </c>
      <c r="R27" s="10">
        <v>45981</v>
      </c>
      <c r="S27" s="7" t="s">
        <v>113</v>
      </c>
      <c r="T27" s="10">
        <v>45987</v>
      </c>
      <c r="U27" s="10">
        <v>46131</v>
      </c>
      <c r="V27" s="11">
        <f>+T27+K27</f>
        <v>46107</v>
      </c>
      <c r="W27" s="11">
        <f t="shared" si="1"/>
        <v>46144</v>
      </c>
      <c r="X27" s="11">
        <f>+V27+Y27+Z27</f>
        <v>46144</v>
      </c>
      <c r="Y27" s="7"/>
      <c r="Z27" s="7">
        <f>19+18</f>
        <v>37</v>
      </c>
      <c r="AA27" s="31">
        <f t="shared" ca="1" si="2"/>
        <v>-9</v>
      </c>
      <c r="AB27" s="10"/>
      <c r="AC27" s="10"/>
      <c r="AD27" s="10"/>
      <c r="AE27" s="30"/>
      <c r="AF27" s="30"/>
      <c r="AG27" s="30">
        <v>35124776.640000001</v>
      </c>
      <c r="AH27" s="30"/>
      <c r="AI27" s="30"/>
      <c r="AJ27" s="41">
        <f t="shared" si="3"/>
        <v>21748633207.059998</v>
      </c>
      <c r="AK27" s="30"/>
      <c r="AL27" s="30"/>
      <c r="AM27" s="30"/>
      <c r="AN27" s="30"/>
      <c r="AO27" s="25">
        <v>0.77090000000000003</v>
      </c>
      <c r="AP27" s="25">
        <v>0.24590000000000001</v>
      </c>
      <c r="AQ27" s="26">
        <v>46120</v>
      </c>
      <c r="AR27" s="49" t="s">
        <v>87</v>
      </c>
      <c r="AS27" s="7"/>
      <c r="AT27" s="7"/>
      <c r="AU27" s="37"/>
      <c r="AV27" s="12"/>
    </row>
    <row r="28" spans="1:48" ht="33.75" x14ac:dyDescent="0.25">
      <c r="A28" s="62" t="s">
        <v>170</v>
      </c>
      <c r="B28" s="62" t="s">
        <v>35</v>
      </c>
      <c r="C28" s="62" t="s">
        <v>99</v>
      </c>
      <c r="D28" s="62">
        <v>45494</v>
      </c>
      <c r="E28" s="62"/>
      <c r="F28" s="62" t="s">
        <v>174</v>
      </c>
      <c r="G28" s="63" t="s">
        <v>142</v>
      </c>
      <c r="H28" s="63" t="s">
        <v>93</v>
      </c>
      <c r="I28" s="63" t="s">
        <v>58</v>
      </c>
      <c r="J28" s="63" t="s">
        <v>59</v>
      </c>
      <c r="K28" s="62">
        <v>20</v>
      </c>
      <c r="L28" s="62" t="s">
        <v>215</v>
      </c>
      <c r="M28" s="62"/>
      <c r="N28" s="64">
        <v>384059033.69</v>
      </c>
      <c r="O28" s="65">
        <v>46092</v>
      </c>
      <c r="P28" s="65">
        <v>46092</v>
      </c>
      <c r="Q28" s="65">
        <v>46092</v>
      </c>
      <c r="R28" s="65">
        <v>46108</v>
      </c>
      <c r="S28" s="62"/>
      <c r="T28" s="65">
        <v>46107</v>
      </c>
      <c r="U28" s="65">
        <v>46289</v>
      </c>
      <c r="V28" s="66">
        <f>+T28+K28</f>
        <v>46127</v>
      </c>
      <c r="W28" s="66">
        <f t="shared" si="1"/>
        <v>46127</v>
      </c>
      <c r="X28" s="66">
        <f>+V28+Y28+Z28</f>
        <v>46127</v>
      </c>
      <c r="Y28" s="62"/>
      <c r="Z28" s="62"/>
      <c r="AA28" s="67">
        <f t="shared" ca="1" si="2"/>
        <v>8</v>
      </c>
      <c r="AB28" s="65"/>
      <c r="AC28" s="65"/>
      <c r="AD28" s="65"/>
      <c r="AE28" s="68"/>
      <c r="AF28" s="68"/>
      <c r="AG28" s="68"/>
      <c r="AH28" s="68"/>
      <c r="AI28" s="68"/>
      <c r="AJ28" s="41">
        <f t="shared" si="3"/>
        <v>384059033.69</v>
      </c>
      <c r="AK28" s="68"/>
      <c r="AL28" s="68"/>
      <c r="AM28" s="68"/>
      <c r="AN28" s="68"/>
      <c r="AO28" s="69"/>
      <c r="AP28" s="69"/>
      <c r="AQ28" s="70"/>
      <c r="AR28" s="62" t="s">
        <v>87</v>
      </c>
      <c r="AS28" s="62"/>
      <c r="AT28" s="62"/>
      <c r="AU28" s="71"/>
      <c r="AV28" s="12"/>
    </row>
    <row r="29" spans="1:48" ht="30" customHeight="1" x14ac:dyDescent="0.25">
      <c r="A29" s="7" t="s">
        <v>171</v>
      </c>
      <c r="B29" s="7" t="s">
        <v>34</v>
      </c>
      <c r="C29" s="7" t="s">
        <v>99</v>
      </c>
      <c r="D29" s="7">
        <v>44666</v>
      </c>
      <c r="E29" s="7">
        <v>54040</v>
      </c>
      <c r="F29" s="7" t="s">
        <v>173</v>
      </c>
      <c r="G29" s="8" t="s">
        <v>74</v>
      </c>
      <c r="H29" s="8" t="s">
        <v>91</v>
      </c>
      <c r="I29" s="8" t="s">
        <v>58</v>
      </c>
      <c r="J29" s="8" t="s">
        <v>59</v>
      </c>
      <c r="K29" s="7">
        <v>20</v>
      </c>
      <c r="L29" s="7" t="s">
        <v>216</v>
      </c>
      <c r="M29" s="23" t="s">
        <v>183</v>
      </c>
      <c r="N29" s="27">
        <v>29214103.510000002</v>
      </c>
      <c r="O29" s="10">
        <v>46006</v>
      </c>
      <c r="P29" s="10">
        <v>46006</v>
      </c>
      <c r="Q29" s="10">
        <v>46006</v>
      </c>
      <c r="R29" s="10">
        <v>46024</v>
      </c>
      <c r="S29" s="7"/>
      <c r="T29" s="10">
        <v>46024</v>
      </c>
      <c r="U29" s="10"/>
      <c r="V29" s="11">
        <f>+Tabla1[[#This Row],[ACTA DE INICIO]]+Tabla1[[#This Row],[PLAZO DE OBRA]]</f>
        <v>46044</v>
      </c>
      <c r="W29" s="11">
        <f t="shared" si="1"/>
        <v>46044</v>
      </c>
      <c r="X29" s="11">
        <f>+V29+Z29+Y29</f>
        <v>46044</v>
      </c>
      <c r="Y29" s="7"/>
      <c r="Z29" s="7"/>
      <c r="AA29" s="29">
        <f t="shared" ca="1" si="2"/>
        <v>0</v>
      </c>
      <c r="AB29" s="10">
        <v>46044</v>
      </c>
      <c r="AC29" s="10">
        <v>46225</v>
      </c>
      <c r="AD29" s="28"/>
      <c r="AE29" s="9"/>
      <c r="AF29" s="9"/>
      <c r="AG29" s="9"/>
      <c r="AH29" s="9"/>
      <c r="AI29" s="9"/>
      <c r="AJ29" s="41">
        <f t="shared" si="3"/>
        <v>29214103.510000002</v>
      </c>
      <c r="AK29" s="9"/>
      <c r="AL29" s="9"/>
      <c r="AM29" s="9"/>
      <c r="AN29" s="9"/>
      <c r="AO29" s="25"/>
      <c r="AP29" s="25"/>
      <c r="AQ29" s="26"/>
      <c r="AR29" s="49" t="s">
        <v>66</v>
      </c>
      <c r="AS29" s="7"/>
      <c r="AT29" s="7"/>
      <c r="AU29" s="7"/>
      <c r="AV29" s="12"/>
    </row>
    <row r="30" spans="1:48" ht="30" customHeight="1" x14ac:dyDescent="0.25">
      <c r="A30" s="7">
        <v>191506</v>
      </c>
      <c r="B30" s="7" t="s">
        <v>34</v>
      </c>
      <c r="C30" s="7" t="s">
        <v>100</v>
      </c>
      <c r="D30" s="7">
        <v>45516</v>
      </c>
      <c r="E30" s="7">
        <v>12525</v>
      </c>
      <c r="F30" s="7" t="s">
        <v>175</v>
      </c>
      <c r="G30" s="8" t="s">
        <v>117</v>
      </c>
      <c r="H30" s="8" t="s">
        <v>37</v>
      </c>
      <c r="I30" s="8" t="s">
        <v>103</v>
      </c>
      <c r="J30" s="8" t="s">
        <v>37</v>
      </c>
      <c r="K30" s="7">
        <v>120</v>
      </c>
      <c r="L30" s="7" t="s">
        <v>217</v>
      </c>
      <c r="M30" s="7" t="s">
        <v>186</v>
      </c>
      <c r="N30" s="27">
        <v>23092567084.709999</v>
      </c>
      <c r="O30" s="10">
        <v>45869</v>
      </c>
      <c r="P30" s="10">
        <v>45869</v>
      </c>
      <c r="Q30" s="10">
        <v>45869</v>
      </c>
      <c r="R30" s="10">
        <v>45883</v>
      </c>
      <c r="S30" s="7" t="s">
        <v>109</v>
      </c>
      <c r="T30" s="10">
        <v>45902</v>
      </c>
      <c r="U30" s="10">
        <v>45961</v>
      </c>
      <c r="V30" s="11">
        <f>T30+K30</f>
        <v>46022</v>
      </c>
      <c r="W30" s="11">
        <f t="shared" si="1"/>
        <v>46067</v>
      </c>
      <c r="X30" s="11">
        <f t="shared" ref="X30:X44" si="6">+V30+Y30+Z30</f>
        <v>46067</v>
      </c>
      <c r="Y30" s="7"/>
      <c r="Z30" s="7">
        <f>20+25</f>
        <v>45</v>
      </c>
      <c r="AA30" s="45">
        <f t="shared" ca="1" si="2"/>
        <v>-12</v>
      </c>
      <c r="AB30" s="10">
        <v>46055</v>
      </c>
      <c r="AC30" s="10">
        <f>+Tabla1[[#This Row],[ACTA RECEP. PROVISORIA]]+180</f>
        <v>46235</v>
      </c>
      <c r="AD30" s="10"/>
      <c r="AE30" s="38">
        <f>9330523.77+18170431.16+5521987.11</f>
        <v>33022942.039999999</v>
      </c>
      <c r="AF30" s="38"/>
      <c r="AG30" s="48"/>
      <c r="AH30" s="38"/>
      <c r="AI30" s="38"/>
      <c r="AJ30" s="41">
        <f t="shared" si="3"/>
        <v>23125590026.75</v>
      </c>
      <c r="AK30" s="38"/>
      <c r="AL30" s="38"/>
      <c r="AM30" s="38"/>
      <c r="AN30" s="38"/>
      <c r="AO30" s="25">
        <v>0.99780000000000002</v>
      </c>
      <c r="AP30" s="25">
        <v>5.7999999999999996E-3</v>
      </c>
      <c r="AQ30" s="26">
        <v>46087</v>
      </c>
      <c r="AR30" s="49" t="s">
        <v>66</v>
      </c>
      <c r="AS30" s="23"/>
      <c r="AT30" s="23"/>
      <c r="AU30" s="23"/>
    </row>
    <row r="31" spans="1:48" ht="30" customHeight="1" x14ac:dyDescent="0.25">
      <c r="A31" s="7">
        <v>155392</v>
      </c>
      <c r="B31" s="7" t="s">
        <v>34</v>
      </c>
      <c r="C31" s="7" t="s">
        <v>99</v>
      </c>
      <c r="D31" s="7">
        <v>45455</v>
      </c>
      <c r="E31" s="7">
        <v>59197</v>
      </c>
      <c r="F31" s="7" t="s">
        <v>174</v>
      </c>
      <c r="G31" s="8" t="s">
        <v>96</v>
      </c>
      <c r="H31" s="8" t="s">
        <v>51</v>
      </c>
      <c r="I31" s="8" t="s">
        <v>57</v>
      </c>
      <c r="J31" s="8" t="s">
        <v>59</v>
      </c>
      <c r="K31" s="7">
        <v>300</v>
      </c>
      <c r="L31" s="7" t="s">
        <v>218</v>
      </c>
      <c r="M31" s="7" t="s">
        <v>181</v>
      </c>
      <c r="N31" s="27">
        <v>2359823.66</v>
      </c>
      <c r="O31" s="10">
        <v>44760</v>
      </c>
      <c r="P31" s="10">
        <v>44774</v>
      </c>
      <c r="Q31" s="10">
        <v>44761</v>
      </c>
      <c r="R31" s="10">
        <v>44775</v>
      </c>
      <c r="S31" s="10"/>
      <c r="T31" s="10">
        <v>44768</v>
      </c>
      <c r="U31" s="10"/>
      <c r="V31" s="11">
        <f t="shared" ref="V31:V44" si="7">+T31+K31</f>
        <v>45068</v>
      </c>
      <c r="W31" s="11">
        <f t="shared" si="1"/>
        <v>45068</v>
      </c>
      <c r="X31" s="11">
        <f t="shared" si="6"/>
        <v>45511</v>
      </c>
      <c r="Y31" s="7">
        <v>443</v>
      </c>
      <c r="Z31" s="7"/>
      <c r="AA31" s="45">
        <f t="shared" ca="1" si="2"/>
        <v>0</v>
      </c>
      <c r="AB31" s="10">
        <v>45511</v>
      </c>
      <c r="AC31" s="10">
        <v>46241</v>
      </c>
      <c r="AD31" s="10"/>
      <c r="AE31" s="38"/>
      <c r="AF31" s="38"/>
      <c r="AG31" s="38">
        <f>289974.88+408156.05</f>
        <v>698130.92999999993</v>
      </c>
      <c r="AH31" s="38"/>
      <c r="AI31" s="38"/>
      <c r="AJ31" s="41">
        <f t="shared" si="3"/>
        <v>3057954.59</v>
      </c>
      <c r="AK31" s="38"/>
      <c r="AL31" s="38"/>
      <c r="AM31" s="38"/>
      <c r="AN31" s="38"/>
      <c r="AO31" s="25"/>
      <c r="AP31" s="47"/>
      <c r="AQ31" s="26"/>
      <c r="AR31" s="49" t="s">
        <v>66</v>
      </c>
      <c r="AS31" s="23"/>
      <c r="AT31" s="23"/>
      <c r="AU31" s="23"/>
    </row>
    <row r="32" spans="1:48" ht="30" customHeight="1" x14ac:dyDescent="0.25">
      <c r="A32" s="7">
        <v>144597</v>
      </c>
      <c r="B32" s="7" t="s">
        <v>35</v>
      </c>
      <c r="C32" s="7" t="s">
        <v>101</v>
      </c>
      <c r="D32" s="7">
        <v>44858</v>
      </c>
      <c r="E32" s="7">
        <v>58830</v>
      </c>
      <c r="F32" s="7" t="s">
        <v>174</v>
      </c>
      <c r="G32" s="8" t="s">
        <v>95</v>
      </c>
      <c r="H32" s="8" t="s">
        <v>89</v>
      </c>
      <c r="I32" s="8" t="s">
        <v>88</v>
      </c>
      <c r="J32" s="8" t="s">
        <v>59</v>
      </c>
      <c r="K32" s="7">
        <v>360</v>
      </c>
      <c r="L32" s="7" t="s">
        <v>219</v>
      </c>
      <c r="M32" s="7" t="s">
        <v>187</v>
      </c>
      <c r="N32" s="27">
        <v>194095917277.70999</v>
      </c>
      <c r="O32" s="10">
        <v>45653</v>
      </c>
      <c r="P32" s="10">
        <v>45656</v>
      </c>
      <c r="Q32" s="10">
        <v>45653</v>
      </c>
      <c r="R32" s="10">
        <v>45671</v>
      </c>
      <c r="S32" s="7" t="s">
        <v>65</v>
      </c>
      <c r="T32" s="10">
        <v>45671</v>
      </c>
      <c r="U32" s="10">
        <v>46213</v>
      </c>
      <c r="V32" s="11">
        <f t="shared" si="7"/>
        <v>46031</v>
      </c>
      <c r="W32" s="11">
        <f t="shared" si="1"/>
        <v>46132</v>
      </c>
      <c r="X32" s="11">
        <f t="shared" si="6"/>
        <v>46132</v>
      </c>
      <c r="Y32" s="7"/>
      <c r="Z32" s="7">
        <f>28+17+56</f>
        <v>101</v>
      </c>
      <c r="AA32" s="31">
        <f t="shared" ca="1" si="2"/>
        <v>3</v>
      </c>
      <c r="AB32" s="10"/>
      <c r="AC32" s="10"/>
      <c r="AD32" s="10"/>
      <c r="AE32" s="30">
        <f>27754513.45+10155555.45+7913107.8</f>
        <v>45823176.699999996</v>
      </c>
      <c r="AF32" s="30"/>
      <c r="AG32" s="30">
        <f>104291642.7+63923833.89+25097501.22</f>
        <v>193312977.81</v>
      </c>
      <c r="AH32" s="30">
        <f>1976792.95+60317.26+39906.24</f>
        <v>2077016.45</v>
      </c>
      <c r="AI32" s="30"/>
      <c r="AJ32" s="41">
        <f t="shared" ref="AJ32:AJ44" si="8">+N32+AE32+AG32+AH32-AF32-AI32</f>
        <v>194337130448.67001</v>
      </c>
      <c r="AK32" s="30"/>
      <c r="AL32" s="30"/>
      <c r="AM32" s="30"/>
      <c r="AN32" s="30"/>
      <c r="AO32" s="25">
        <v>0.93759999999999999</v>
      </c>
      <c r="AP32" s="32">
        <v>1.9699999999999999E-2</v>
      </c>
      <c r="AQ32" s="26">
        <v>46118</v>
      </c>
      <c r="AR32" s="7" t="s">
        <v>157</v>
      </c>
      <c r="AS32" s="7"/>
      <c r="AT32" s="7"/>
      <c r="AU32" s="37"/>
    </row>
    <row r="33" spans="1:47" ht="30" customHeight="1" x14ac:dyDescent="0.25">
      <c r="A33" s="7">
        <v>136421</v>
      </c>
      <c r="B33" s="7" t="s">
        <v>34</v>
      </c>
      <c r="C33" s="7" t="s">
        <v>99</v>
      </c>
      <c r="D33" s="7">
        <v>46745</v>
      </c>
      <c r="E33" s="7">
        <v>54304</v>
      </c>
      <c r="F33" s="7" t="s">
        <v>173</v>
      </c>
      <c r="G33" s="8" t="s">
        <v>96</v>
      </c>
      <c r="H33" s="8" t="s">
        <v>107</v>
      </c>
      <c r="I33" s="8" t="s">
        <v>57</v>
      </c>
      <c r="J33" s="8" t="s">
        <v>59</v>
      </c>
      <c r="K33" s="7">
        <v>300</v>
      </c>
      <c r="L33" s="7" t="s">
        <v>220</v>
      </c>
      <c r="M33" s="7" t="s">
        <v>181</v>
      </c>
      <c r="N33" s="27">
        <v>9660819.8100000005</v>
      </c>
      <c r="O33" s="10">
        <v>43367</v>
      </c>
      <c r="P33" s="10">
        <v>43377</v>
      </c>
      <c r="Q33" s="10">
        <v>43385</v>
      </c>
      <c r="R33" s="10">
        <v>43402</v>
      </c>
      <c r="S33" s="10" t="s">
        <v>36</v>
      </c>
      <c r="T33" s="10">
        <v>43476</v>
      </c>
      <c r="U33" s="10"/>
      <c r="V33" s="11">
        <f t="shared" si="7"/>
        <v>43776</v>
      </c>
      <c r="W33" s="11">
        <f t="shared" si="1"/>
        <v>43776</v>
      </c>
      <c r="X33" s="11">
        <f t="shared" si="6"/>
        <v>45527</v>
      </c>
      <c r="Y33" s="7">
        <f>42+1709</f>
        <v>1751</v>
      </c>
      <c r="Z33" s="7"/>
      <c r="AA33" s="45">
        <f t="shared" ca="1" si="2"/>
        <v>0</v>
      </c>
      <c r="AB33" s="10">
        <v>45527</v>
      </c>
      <c r="AC33" s="10">
        <v>46257</v>
      </c>
      <c r="AD33" s="10"/>
      <c r="AE33" s="38"/>
      <c r="AF33" s="38"/>
      <c r="AG33" s="38">
        <v>388025.83</v>
      </c>
      <c r="AH33" s="38"/>
      <c r="AI33" s="38"/>
      <c r="AJ33" s="38">
        <f t="shared" si="8"/>
        <v>10048845.640000001</v>
      </c>
      <c r="AK33" s="38">
        <v>4727.7</v>
      </c>
      <c r="AL33" s="38"/>
      <c r="AM33" s="38"/>
      <c r="AN33" s="38"/>
      <c r="AO33" s="25"/>
      <c r="AP33" s="47"/>
      <c r="AQ33" s="26"/>
      <c r="AR33" s="49" t="s">
        <v>66</v>
      </c>
      <c r="AS33" s="23"/>
      <c r="AT33" s="23"/>
      <c r="AU33" s="23"/>
    </row>
    <row r="34" spans="1:47" ht="51.75" customHeight="1" x14ac:dyDescent="0.25">
      <c r="A34" s="7">
        <v>120379</v>
      </c>
      <c r="B34" s="7" t="s">
        <v>35</v>
      </c>
      <c r="C34" s="7" t="s">
        <v>99</v>
      </c>
      <c r="D34" s="7">
        <v>45093</v>
      </c>
      <c r="E34" s="7">
        <v>59577</v>
      </c>
      <c r="F34" s="7" t="s">
        <v>173</v>
      </c>
      <c r="G34" s="8" t="s">
        <v>63</v>
      </c>
      <c r="H34" s="8" t="s">
        <v>75</v>
      </c>
      <c r="I34" s="8" t="s">
        <v>103</v>
      </c>
      <c r="J34" s="8" t="s">
        <v>37</v>
      </c>
      <c r="K34" s="7">
        <v>240</v>
      </c>
      <c r="L34" s="7" t="s">
        <v>221</v>
      </c>
      <c r="M34" s="7" t="s">
        <v>182</v>
      </c>
      <c r="N34" s="27">
        <v>11459936769.190001</v>
      </c>
      <c r="O34" s="10">
        <v>45757</v>
      </c>
      <c r="P34" s="10">
        <v>45757</v>
      </c>
      <c r="Q34" s="10">
        <v>45757</v>
      </c>
      <c r="R34" s="10">
        <v>45775</v>
      </c>
      <c r="S34" s="7" t="s">
        <v>124</v>
      </c>
      <c r="T34" s="10">
        <v>45796</v>
      </c>
      <c r="U34" s="10">
        <v>46082</v>
      </c>
      <c r="V34" s="11">
        <f t="shared" si="7"/>
        <v>46036</v>
      </c>
      <c r="W34" s="11">
        <f t="shared" si="1"/>
        <v>46136</v>
      </c>
      <c r="X34" s="11">
        <f t="shared" si="6"/>
        <v>46136</v>
      </c>
      <c r="Y34" s="7"/>
      <c r="Z34" s="7">
        <f>40+20+40</f>
        <v>100</v>
      </c>
      <c r="AA34" s="45">
        <f t="shared" ca="1" si="2"/>
        <v>-1</v>
      </c>
      <c r="AB34" s="10"/>
      <c r="AC34" s="10"/>
      <c r="AD34" s="10"/>
      <c r="AE34" s="9">
        <f>20794753.81+15274216.14+23749395.65</f>
        <v>59818365.600000001</v>
      </c>
      <c r="AF34" s="9"/>
      <c r="AG34" s="46">
        <v>11239285.199999999</v>
      </c>
      <c r="AH34" s="9">
        <f>2178835.58+24018.91</f>
        <v>2202854.4900000002</v>
      </c>
      <c r="AI34" s="9"/>
      <c r="AJ34" s="38">
        <f t="shared" si="8"/>
        <v>11533197274.480001</v>
      </c>
      <c r="AK34" s="9"/>
      <c r="AL34" s="9">
        <v>61899.8</v>
      </c>
      <c r="AM34" s="9"/>
      <c r="AN34" s="9"/>
      <c r="AO34" s="25">
        <v>0.96989999999999998</v>
      </c>
      <c r="AP34" s="25">
        <v>2.0199999999999999E-2</v>
      </c>
      <c r="AQ34" s="26">
        <v>46073</v>
      </c>
      <c r="AR34" s="49" t="s">
        <v>70</v>
      </c>
      <c r="AS34" s="23"/>
      <c r="AT34" s="23"/>
      <c r="AU34" s="23"/>
    </row>
    <row r="35" spans="1:47" ht="50.25" customHeight="1" x14ac:dyDescent="0.25">
      <c r="A35" s="7">
        <v>128221</v>
      </c>
      <c r="B35" s="7" t="s">
        <v>35</v>
      </c>
      <c r="C35" s="7" t="s">
        <v>99</v>
      </c>
      <c r="D35" s="42">
        <v>46874</v>
      </c>
      <c r="E35" s="7">
        <v>57019</v>
      </c>
      <c r="F35" s="7" t="s">
        <v>174</v>
      </c>
      <c r="G35" s="8" t="s">
        <v>127</v>
      </c>
      <c r="H35" s="8" t="s">
        <v>89</v>
      </c>
      <c r="I35" s="8" t="s">
        <v>57</v>
      </c>
      <c r="J35" s="8" t="s">
        <v>59</v>
      </c>
      <c r="K35" s="7">
        <v>240</v>
      </c>
      <c r="L35" s="7" t="s">
        <v>222</v>
      </c>
      <c r="M35" s="7" t="s">
        <v>181</v>
      </c>
      <c r="N35" s="27">
        <v>58602604.07</v>
      </c>
      <c r="O35" s="10">
        <v>45972</v>
      </c>
      <c r="P35" s="10">
        <v>45974</v>
      </c>
      <c r="Q35" s="10">
        <v>45972</v>
      </c>
      <c r="R35" s="10">
        <v>45988</v>
      </c>
      <c r="S35" s="7"/>
      <c r="T35" s="10">
        <v>45996</v>
      </c>
      <c r="U35" s="10">
        <v>46289</v>
      </c>
      <c r="V35" s="11">
        <f t="shared" si="7"/>
        <v>46236</v>
      </c>
      <c r="W35" s="11">
        <f t="shared" si="1"/>
        <v>46236</v>
      </c>
      <c r="X35" s="11">
        <f t="shared" si="6"/>
        <v>46236</v>
      </c>
      <c r="Y35" s="7"/>
      <c r="Z35" s="7"/>
      <c r="AA35" s="31">
        <f t="shared" ca="1" si="2"/>
        <v>-101</v>
      </c>
      <c r="AB35" s="10"/>
      <c r="AC35" s="10"/>
      <c r="AD35" s="10"/>
      <c r="AE35" s="30"/>
      <c r="AF35" s="30"/>
      <c r="AG35" s="30"/>
      <c r="AH35" s="30"/>
      <c r="AI35" s="30"/>
      <c r="AJ35" s="41">
        <f t="shared" si="8"/>
        <v>58602604.07</v>
      </c>
      <c r="AK35" s="30"/>
      <c r="AL35" s="30"/>
      <c r="AM35" s="30"/>
      <c r="AN35" s="30"/>
      <c r="AO35" s="25"/>
      <c r="AP35" s="25"/>
      <c r="AQ35" s="26"/>
      <c r="AR35" s="49" t="s">
        <v>135</v>
      </c>
      <c r="AS35" s="7"/>
      <c r="AT35" s="7"/>
      <c r="AU35" s="37"/>
    </row>
    <row r="36" spans="1:47" ht="35.25" customHeight="1" x14ac:dyDescent="0.25">
      <c r="A36" s="7">
        <v>144118</v>
      </c>
      <c r="B36" s="7" t="s">
        <v>34</v>
      </c>
      <c r="C36" s="7" t="s">
        <v>99</v>
      </c>
      <c r="D36" s="7">
        <v>46799</v>
      </c>
      <c r="E36" s="7">
        <v>59560</v>
      </c>
      <c r="F36" s="7" t="s">
        <v>175</v>
      </c>
      <c r="G36" s="8" t="s">
        <v>96</v>
      </c>
      <c r="H36" s="8" t="s">
        <v>50</v>
      </c>
      <c r="I36" s="8" t="s">
        <v>57</v>
      </c>
      <c r="J36" s="8" t="s">
        <v>59</v>
      </c>
      <c r="K36" s="7">
        <v>420</v>
      </c>
      <c r="L36" s="7" t="s">
        <v>223</v>
      </c>
      <c r="M36" s="7" t="s">
        <v>181</v>
      </c>
      <c r="N36" s="27">
        <v>6183316.7400000002</v>
      </c>
      <c r="O36" s="10">
        <v>44656</v>
      </c>
      <c r="P36" s="10">
        <v>44672</v>
      </c>
      <c r="Q36" s="10">
        <v>44662</v>
      </c>
      <c r="R36" s="10">
        <v>44671</v>
      </c>
      <c r="S36" s="10" t="s">
        <v>65</v>
      </c>
      <c r="T36" s="10">
        <v>44671</v>
      </c>
      <c r="U36" s="10"/>
      <c r="V36" s="11">
        <f t="shared" si="7"/>
        <v>45091</v>
      </c>
      <c r="W36" s="11">
        <f t="shared" si="1"/>
        <v>45091</v>
      </c>
      <c r="X36" s="11">
        <f t="shared" si="6"/>
        <v>45594</v>
      </c>
      <c r="Y36" s="7">
        <v>503</v>
      </c>
      <c r="Z36" s="7"/>
      <c r="AA36" s="45">
        <f t="shared" ca="1" si="2"/>
        <v>0</v>
      </c>
      <c r="AB36" s="10">
        <v>45594</v>
      </c>
      <c r="AC36" s="10">
        <v>46324</v>
      </c>
      <c r="AD36" s="10"/>
      <c r="AE36" s="38"/>
      <c r="AF36" s="38"/>
      <c r="AG36" s="38">
        <f>1733587.7+806434.93</f>
        <v>2540022.63</v>
      </c>
      <c r="AH36" s="38"/>
      <c r="AI36" s="38"/>
      <c r="AJ36" s="38">
        <f t="shared" si="8"/>
        <v>8723339.370000001</v>
      </c>
      <c r="AK36" s="38"/>
      <c r="AL36" s="38"/>
      <c r="AM36" s="38"/>
      <c r="AN36" s="38"/>
      <c r="AO36" s="41"/>
      <c r="AP36" s="41"/>
      <c r="AQ36" s="41"/>
      <c r="AR36" s="49" t="s">
        <v>66</v>
      </c>
      <c r="AS36" s="23"/>
      <c r="AT36" s="23"/>
      <c r="AU36" s="23"/>
    </row>
    <row r="37" spans="1:47" ht="33.75" customHeight="1" x14ac:dyDescent="0.25">
      <c r="A37" s="7">
        <v>113396</v>
      </c>
      <c r="B37" s="7" t="s">
        <v>34</v>
      </c>
      <c r="C37" s="7" t="s">
        <v>99</v>
      </c>
      <c r="D37" s="7">
        <v>46654</v>
      </c>
      <c r="E37" s="7">
        <v>56543</v>
      </c>
      <c r="F37" s="7" t="s">
        <v>173</v>
      </c>
      <c r="G37" s="8" t="s">
        <v>96</v>
      </c>
      <c r="H37" s="8" t="s">
        <v>49</v>
      </c>
      <c r="I37" s="8" t="s">
        <v>57</v>
      </c>
      <c r="J37" s="8" t="s">
        <v>59</v>
      </c>
      <c r="K37" s="7">
        <v>270</v>
      </c>
      <c r="L37" s="7" t="s">
        <v>224</v>
      </c>
      <c r="M37" s="7" t="s">
        <v>181</v>
      </c>
      <c r="N37" s="27">
        <v>80499258.409999996</v>
      </c>
      <c r="O37" s="10">
        <v>43504</v>
      </c>
      <c r="P37" s="10">
        <v>43518</v>
      </c>
      <c r="Q37" s="10">
        <v>43509</v>
      </c>
      <c r="R37" s="10">
        <v>43523</v>
      </c>
      <c r="S37" s="10"/>
      <c r="T37" s="10">
        <v>43524</v>
      </c>
      <c r="U37" s="10"/>
      <c r="V37" s="10">
        <f t="shared" si="7"/>
        <v>43794</v>
      </c>
      <c r="W37" s="10">
        <f t="shared" si="1"/>
        <v>43794</v>
      </c>
      <c r="X37" s="10">
        <f t="shared" si="6"/>
        <v>45861</v>
      </c>
      <c r="Y37" s="7">
        <f>207+1860</f>
        <v>2067</v>
      </c>
      <c r="Z37" s="7"/>
      <c r="AA37" s="7">
        <f t="shared" ca="1" si="2"/>
        <v>0</v>
      </c>
      <c r="AB37" s="10">
        <v>45861</v>
      </c>
      <c r="AC37" s="10">
        <v>46591</v>
      </c>
      <c r="AD37" s="7"/>
      <c r="AE37" s="7"/>
      <c r="AF37" s="7"/>
      <c r="AG37" s="43">
        <f>346808.82+1420582.36</f>
        <v>1767391.1800000002</v>
      </c>
      <c r="AH37" s="43"/>
      <c r="AI37" s="43"/>
      <c r="AJ37" s="44">
        <f t="shared" si="8"/>
        <v>82266649.590000004</v>
      </c>
      <c r="AK37" s="43"/>
      <c r="AL37" s="43">
        <v>1059.26</v>
      </c>
      <c r="AM37" s="7"/>
      <c r="AN37" s="7"/>
      <c r="AO37" s="7"/>
      <c r="AP37" s="7"/>
      <c r="AQ37" s="7"/>
      <c r="AR37" s="49" t="s">
        <v>66</v>
      </c>
      <c r="AS37" s="23"/>
      <c r="AT37" s="23"/>
      <c r="AU37" s="23"/>
    </row>
    <row r="38" spans="1:47" ht="32.25" customHeight="1" x14ac:dyDescent="0.25">
      <c r="A38" s="7">
        <v>112156</v>
      </c>
      <c r="B38" s="7" t="s">
        <v>35</v>
      </c>
      <c r="C38" s="7" t="s">
        <v>100</v>
      </c>
      <c r="D38" s="7">
        <v>44292</v>
      </c>
      <c r="E38" s="7">
        <v>11741</v>
      </c>
      <c r="F38" s="7" t="s">
        <v>174</v>
      </c>
      <c r="G38" s="8" t="s">
        <v>123</v>
      </c>
      <c r="H38" s="8" t="s">
        <v>232</v>
      </c>
      <c r="I38" s="8" t="s">
        <v>103</v>
      </c>
      <c r="J38" s="8" t="s">
        <v>37</v>
      </c>
      <c r="K38" s="7">
        <v>180</v>
      </c>
      <c r="L38" s="7" t="s">
        <v>225</v>
      </c>
      <c r="M38" s="23" t="s">
        <v>183</v>
      </c>
      <c r="N38" s="27">
        <v>256234410.25</v>
      </c>
      <c r="O38" s="10">
        <v>46049</v>
      </c>
      <c r="P38" s="10">
        <v>46051</v>
      </c>
      <c r="Q38" s="10">
        <v>46049</v>
      </c>
      <c r="R38" s="10">
        <v>46063</v>
      </c>
      <c r="S38" s="7" t="s">
        <v>65</v>
      </c>
      <c r="T38" s="10">
        <v>46063</v>
      </c>
      <c r="U38" s="10">
        <v>46224</v>
      </c>
      <c r="V38" s="11">
        <f t="shared" si="7"/>
        <v>46243</v>
      </c>
      <c r="W38" s="11">
        <f t="shared" si="1"/>
        <v>46243</v>
      </c>
      <c r="X38" s="11">
        <f t="shared" si="6"/>
        <v>46243</v>
      </c>
      <c r="Y38" s="7"/>
      <c r="Z38" s="7"/>
      <c r="AA38" s="29">
        <f t="shared" ca="1" si="2"/>
        <v>-108</v>
      </c>
      <c r="AB38" s="28"/>
      <c r="AC38" s="28"/>
      <c r="AD38" s="28"/>
      <c r="AE38" s="9"/>
      <c r="AF38" s="9"/>
      <c r="AG38" s="9"/>
      <c r="AH38" s="9"/>
      <c r="AI38" s="9"/>
      <c r="AJ38" s="38">
        <f t="shared" si="8"/>
        <v>256234410.25</v>
      </c>
      <c r="AK38" s="9"/>
      <c r="AL38" s="9"/>
      <c r="AM38" s="9"/>
      <c r="AN38" s="9"/>
      <c r="AO38" s="25">
        <v>0.20849999999999999</v>
      </c>
      <c r="AP38" s="25">
        <v>7.4200000000000002E-2</v>
      </c>
      <c r="AQ38" s="26">
        <v>46122</v>
      </c>
      <c r="AR38" s="49" t="s">
        <v>70</v>
      </c>
      <c r="AS38" s="7"/>
      <c r="AT38" s="7"/>
      <c r="AU38" s="7"/>
    </row>
    <row r="39" spans="1:47" ht="53.25" customHeight="1" x14ac:dyDescent="0.25">
      <c r="A39" s="7">
        <v>149797</v>
      </c>
      <c r="B39" s="7" t="s">
        <v>35</v>
      </c>
      <c r="C39" s="7" t="s">
        <v>101</v>
      </c>
      <c r="D39" s="42">
        <v>46495</v>
      </c>
      <c r="E39" s="7">
        <v>53593</v>
      </c>
      <c r="F39" s="7" t="s">
        <v>174</v>
      </c>
      <c r="G39" s="8" t="s">
        <v>129</v>
      </c>
      <c r="H39" s="8" t="s">
        <v>130</v>
      </c>
      <c r="I39" s="8" t="s">
        <v>88</v>
      </c>
      <c r="J39" s="8" t="s">
        <v>59</v>
      </c>
      <c r="K39" s="7">
        <v>300</v>
      </c>
      <c r="L39" s="7" t="s">
        <v>226</v>
      </c>
      <c r="M39" s="7" t="s">
        <v>185</v>
      </c>
      <c r="N39" s="27">
        <v>131086539357.89999</v>
      </c>
      <c r="O39" s="10">
        <v>45981</v>
      </c>
      <c r="P39" s="10">
        <v>45981</v>
      </c>
      <c r="Q39" s="10">
        <v>45981</v>
      </c>
      <c r="R39" s="10">
        <v>46000</v>
      </c>
      <c r="S39" s="7" t="s">
        <v>65</v>
      </c>
      <c r="T39" s="10">
        <v>46000</v>
      </c>
      <c r="U39" s="10">
        <v>46275</v>
      </c>
      <c r="V39" s="11">
        <f t="shared" si="7"/>
        <v>46300</v>
      </c>
      <c r="W39" s="11">
        <f t="shared" si="1"/>
        <v>46300</v>
      </c>
      <c r="X39" s="11">
        <f t="shared" si="6"/>
        <v>46300</v>
      </c>
      <c r="Y39" s="7"/>
      <c r="Z39" s="7"/>
      <c r="AA39" s="31">
        <f t="shared" ca="1" si="2"/>
        <v>-165</v>
      </c>
      <c r="AB39" s="10"/>
      <c r="AC39" s="10"/>
      <c r="AD39" s="10"/>
      <c r="AE39" s="30"/>
      <c r="AF39" s="30"/>
      <c r="AG39" s="30"/>
      <c r="AH39" s="30"/>
      <c r="AI39" s="30"/>
      <c r="AJ39" s="41">
        <f t="shared" si="8"/>
        <v>131086539357.89999</v>
      </c>
      <c r="AK39" s="30"/>
      <c r="AL39" s="30"/>
      <c r="AM39" s="30"/>
      <c r="AN39" s="30"/>
      <c r="AO39" s="25">
        <v>0.31130000000000002</v>
      </c>
      <c r="AP39" s="25">
        <v>9.2299999999999993E-2</v>
      </c>
      <c r="AQ39" s="26">
        <v>46120</v>
      </c>
      <c r="AR39" s="49" t="s">
        <v>70</v>
      </c>
      <c r="AS39" s="7"/>
      <c r="AT39" s="7"/>
      <c r="AU39" s="37"/>
    </row>
    <row r="40" spans="1:47" ht="53.25" customHeight="1" x14ac:dyDescent="0.25">
      <c r="A40" s="7">
        <v>112676</v>
      </c>
      <c r="B40" s="7" t="s">
        <v>35</v>
      </c>
      <c r="C40" s="7" t="s">
        <v>101</v>
      </c>
      <c r="D40" s="7">
        <v>46600</v>
      </c>
      <c r="E40" s="7"/>
      <c r="F40" s="7" t="s">
        <v>175</v>
      </c>
      <c r="G40" s="8" t="s">
        <v>153</v>
      </c>
      <c r="H40" s="8" t="s">
        <v>151</v>
      </c>
      <c r="I40" s="8" t="s">
        <v>104</v>
      </c>
      <c r="J40" s="8" t="s">
        <v>59</v>
      </c>
      <c r="K40" s="7">
        <v>10</v>
      </c>
      <c r="L40" s="7" t="s">
        <v>227</v>
      </c>
      <c r="M40" s="23" t="s">
        <v>186</v>
      </c>
      <c r="N40" s="27">
        <v>103299311.18000001</v>
      </c>
      <c r="O40" s="10">
        <v>46087</v>
      </c>
      <c r="P40" s="10">
        <v>46087</v>
      </c>
      <c r="Q40" s="10">
        <v>46087</v>
      </c>
      <c r="R40" s="10">
        <v>46101</v>
      </c>
      <c r="S40" s="7"/>
      <c r="T40" s="10">
        <v>46108</v>
      </c>
      <c r="U40" s="10">
        <v>46488</v>
      </c>
      <c r="V40" s="11">
        <f t="shared" si="7"/>
        <v>46118</v>
      </c>
      <c r="W40" s="11">
        <f t="shared" si="1"/>
        <v>46118</v>
      </c>
      <c r="X40" s="11">
        <f t="shared" si="6"/>
        <v>46118</v>
      </c>
      <c r="Y40" s="7"/>
      <c r="Z40" s="7"/>
      <c r="AA40" s="29">
        <f t="shared" ca="1" si="2"/>
        <v>17</v>
      </c>
      <c r="AB40" s="28"/>
      <c r="AC40" s="28"/>
      <c r="AD40" s="28"/>
      <c r="AE40" s="9"/>
      <c r="AF40" s="9"/>
      <c r="AG40" s="9"/>
      <c r="AH40" s="9"/>
      <c r="AI40" s="9"/>
      <c r="AJ40" s="38">
        <f t="shared" si="8"/>
        <v>103299311.18000001</v>
      </c>
      <c r="AK40" s="9"/>
      <c r="AL40" s="9"/>
      <c r="AM40" s="9"/>
      <c r="AN40" s="9"/>
      <c r="AO40" s="25"/>
      <c r="AP40" s="25"/>
      <c r="AQ40" s="26"/>
      <c r="AR40" s="7"/>
      <c r="AS40" s="7"/>
      <c r="AT40" s="7"/>
      <c r="AU40" s="7"/>
    </row>
    <row r="41" spans="1:47" ht="53.25" customHeight="1" x14ac:dyDescent="0.25">
      <c r="A41" s="7">
        <v>147052</v>
      </c>
      <c r="B41" s="7" t="s">
        <v>35</v>
      </c>
      <c r="C41" s="7" t="s">
        <v>101</v>
      </c>
      <c r="D41" s="7">
        <v>44700</v>
      </c>
      <c r="E41" s="7"/>
      <c r="F41" s="7" t="s">
        <v>173</v>
      </c>
      <c r="G41" s="8" t="s">
        <v>154</v>
      </c>
      <c r="H41" s="8" t="s">
        <v>152</v>
      </c>
      <c r="I41" s="8" t="s">
        <v>104</v>
      </c>
      <c r="J41" s="8" t="s">
        <v>59</v>
      </c>
      <c r="K41" s="7">
        <v>10</v>
      </c>
      <c r="L41" s="7" t="s">
        <v>228</v>
      </c>
      <c r="M41" s="23" t="s">
        <v>186</v>
      </c>
      <c r="N41" s="27">
        <v>116398273.40000001</v>
      </c>
      <c r="O41" s="10">
        <v>46087</v>
      </c>
      <c r="P41" s="10">
        <v>46087</v>
      </c>
      <c r="Q41" s="10">
        <v>46087</v>
      </c>
      <c r="R41" s="10">
        <v>46101</v>
      </c>
      <c r="S41" s="7"/>
      <c r="T41" s="10">
        <v>46108</v>
      </c>
      <c r="U41" s="10">
        <v>46488</v>
      </c>
      <c r="V41" s="11">
        <f t="shared" si="7"/>
        <v>46118</v>
      </c>
      <c r="W41" s="11">
        <f t="shared" si="1"/>
        <v>46118</v>
      </c>
      <c r="X41" s="11">
        <f t="shared" si="6"/>
        <v>46118</v>
      </c>
      <c r="Y41" s="7"/>
      <c r="Z41" s="7"/>
      <c r="AA41" s="31">
        <f t="shared" ca="1" si="2"/>
        <v>17</v>
      </c>
      <c r="AB41" s="10"/>
      <c r="AC41" s="10"/>
      <c r="AD41" s="10"/>
      <c r="AE41" s="30"/>
      <c r="AF41" s="30"/>
      <c r="AG41" s="30"/>
      <c r="AH41" s="30"/>
      <c r="AI41" s="30"/>
      <c r="AJ41" s="38">
        <f t="shared" si="8"/>
        <v>116398273.40000001</v>
      </c>
      <c r="AK41" s="30"/>
      <c r="AL41" s="30"/>
      <c r="AM41" s="30"/>
      <c r="AN41" s="30"/>
      <c r="AO41" s="25"/>
      <c r="AP41" s="25"/>
      <c r="AQ41" s="26"/>
      <c r="AR41" s="7"/>
      <c r="AS41" s="7"/>
      <c r="AT41" s="7"/>
      <c r="AU41" s="60"/>
    </row>
    <row r="42" spans="1:47" ht="53.25" customHeight="1" x14ac:dyDescent="0.25">
      <c r="A42" s="7">
        <v>145082</v>
      </c>
      <c r="B42" s="7" t="s">
        <v>35</v>
      </c>
      <c r="C42" s="7" t="s">
        <v>101</v>
      </c>
      <c r="D42" s="7">
        <v>46187</v>
      </c>
      <c r="E42" s="7"/>
      <c r="F42" s="7" t="s">
        <v>175</v>
      </c>
      <c r="G42" s="8" t="s">
        <v>155</v>
      </c>
      <c r="H42" s="8" t="s">
        <v>151</v>
      </c>
      <c r="I42" s="8" t="s">
        <v>58</v>
      </c>
      <c r="J42" s="8" t="s">
        <v>59</v>
      </c>
      <c r="K42" s="7">
        <v>10</v>
      </c>
      <c r="L42" s="7" t="s">
        <v>229</v>
      </c>
      <c r="M42" s="23" t="s">
        <v>186</v>
      </c>
      <c r="N42" s="27">
        <v>1248944.8600000001</v>
      </c>
      <c r="O42" s="10">
        <v>46087</v>
      </c>
      <c r="P42" s="10">
        <v>46087</v>
      </c>
      <c r="Q42" s="10">
        <v>46087</v>
      </c>
      <c r="R42" s="10">
        <v>46101</v>
      </c>
      <c r="S42" s="7"/>
      <c r="T42" s="10">
        <v>46107</v>
      </c>
      <c r="U42" s="10">
        <v>46128</v>
      </c>
      <c r="V42" s="11">
        <f t="shared" si="7"/>
        <v>46117</v>
      </c>
      <c r="W42" s="11">
        <f t="shared" si="1"/>
        <v>46117</v>
      </c>
      <c r="X42" s="11">
        <f t="shared" si="6"/>
        <v>46117</v>
      </c>
      <c r="Y42" s="7"/>
      <c r="Z42" s="7"/>
      <c r="AA42" s="31">
        <f t="shared" ca="1" si="2"/>
        <v>18</v>
      </c>
      <c r="AB42" s="10"/>
      <c r="AC42" s="10"/>
      <c r="AD42" s="10"/>
      <c r="AE42" s="30"/>
      <c r="AF42" s="30"/>
      <c r="AG42" s="30"/>
      <c r="AH42" s="30"/>
      <c r="AI42" s="30"/>
      <c r="AJ42" s="38">
        <f t="shared" si="8"/>
        <v>1248944.8600000001</v>
      </c>
      <c r="AK42" s="30"/>
      <c r="AL42" s="30"/>
      <c r="AM42" s="30"/>
      <c r="AN42" s="30"/>
      <c r="AO42" s="25"/>
      <c r="AP42" s="25"/>
      <c r="AQ42" s="26"/>
      <c r="AR42" s="7"/>
      <c r="AS42" s="7"/>
      <c r="AT42" s="7"/>
      <c r="AU42" s="60"/>
    </row>
    <row r="43" spans="1:47" ht="53.25" customHeight="1" x14ac:dyDescent="0.25">
      <c r="A43" s="7">
        <v>179131</v>
      </c>
      <c r="B43" s="7" t="s">
        <v>35</v>
      </c>
      <c r="C43" s="7" t="s">
        <v>101</v>
      </c>
      <c r="D43" s="7">
        <v>46986</v>
      </c>
      <c r="E43" s="7"/>
      <c r="F43" s="7" t="s">
        <v>173</v>
      </c>
      <c r="G43" s="8" t="s">
        <v>156</v>
      </c>
      <c r="H43" s="8" t="s">
        <v>152</v>
      </c>
      <c r="I43" s="8" t="s">
        <v>58</v>
      </c>
      <c r="J43" s="8" t="s">
        <v>59</v>
      </c>
      <c r="K43" s="7">
        <v>10</v>
      </c>
      <c r="L43" s="7" t="s">
        <v>230</v>
      </c>
      <c r="M43" s="23" t="s">
        <v>186</v>
      </c>
      <c r="N43" s="27">
        <v>2587759.63</v>
      </c>
      <c r="O43" s="10">
        <v>46087</v>
      </c>
      <c r="P43" s="10">
        <v>46087</v>
      </c>
      <c r="Q43" s="10">
        <v>46087</v>
      </c>
      <c r="R43" s="10">
        <v>46101</v>
      </c>
      <c r="S43" s="7"/>
      <c r="T43" s="10">
        <v>46107</v>
      </c>
      <c r="U43" s="10">
        <v>46128</v>
      </c>
      <c r="V43" s="11">
        <f t="shared" si="7"/>
        <v>46117</v>
      </c>
      <c r="W43" s="11">
        <f t="shared" si="1"/>
        <v>46117</v>
      </c>
      <c r="X43" s="11">
        <f t="shared" si="6"/>
        <v>46117</v>
      </c>
      <c r="Y43" s="7"/>
      <c r="Z43" s="7"/>
      <c r="AA43" s="31">
        <f t="shared" ca="1" si="2"/>
        <v>18</v>
      </c>
      <c r="AB43" s="10"/>
      <c r="AC43" s="10"/>
      <c r="AD43" s="10"/>
      <c r="AE43" s="30"/>
      <c r="AF43" s="30"/>
      <c r="AG43" s="30"/>
      <c r="AH43" s="30"/>
      <c r="AI43" s="30"/>
      <c r="AJ43" s="38">
        <f t="shared" si="8"/>
        <v>2587759.63</v>
      </c>
      <c r="AK43" s="30"/>
      <c r="AL43" s="30"/>
      <c r="AM43" s="30"/>
      <c r="AN43" s="30"/>
      <c r="AO43" s="25"/>
      <c r="AP43" s="25"/>
      <c r="AQ43" s="26"/>
      <c r="AR43" s="7"/>
      <c r="AS43" s="7"/>
      <c r="AT43" s="7"/>
      <c r="AU43" s="60"/>
    </row>
    <row r="44" spans="1:47" ht="53.25" customHeight="1" x14ac:dyDescent="0.25">
      <c r="A44" s="7">
        <v>134671</v>
      </c>
      <c r="B44" s="7" t="s">
        <v>35</v>
      </c>
      <c r="C44" s="7" t="s">
        <v>99</v>
      </c>
      <c r="D44" s="42">
        <v>45002</v>
      </c>
      <c r="E44" s="7">
        <v>52266</v>
      </c>
      <c r="F44" s="7" t="s">
        <v>174</v>
      </c>
      <c r="G44" s="8" t="s">
        <v>127</v>
      </c>
      <c r="H44" s="8" t="s">
        <v>93</v>
      </c>
      <c r="I44" s="8" t="s">
        <v>57</v>
      </c>
      <c r="J44" s="8" t="s">
        <v>59</v>
      </c>
      <c r="K44" s="7">
        <v>330</v>
      </c>
      <c r="L44" s="7" t="s">
        <v>231</v>
      </c>
      <c r="M44" s="7" t="s">
        <v>181</v>
      </c>
      <c r="N44" s="27">
        <v>35914454.939999998</v>
      </c>
      <c r="O44" s="10">
        <v>45972</v>
      </c>
      <c r="P44" s="10">
        <v>45974</v>
      </c>
      <c r="Q44" s="10">
        <v>45972</v>
      </c>
      <c r="R44" s="10">
        <v>45988</v>
      </c>
      <c r="S44" s="7"/>
      <c r="T44" s="10">
        <v>45996</v>
      </c>
      <c r="U44" s="10">
        <v>46289</v>
      </c>
      <c r="V44" s="11">
        <f t="shared" si="7"/>
        <v>46326</v>
      </c>
      <c r="W44" s="11">
        <f t="shared" si="1"/>
        <v>46326</v>
      </c>
      <c r="X44" s="11">
        <f t="shared" si="6"/>
        <v>46326</v>
      </c>
      <c r="Y44" s="7"/>
      <c r="Z44" s="7"/>
      <c r="AA44" s="31">
        <f t="shared" ca="1" si="2"/>
        <v>-191</v>
      </c>
      <c r="AB44" s="10"/>
      <c r="AC44" s="10"/>
      <c r="AD44" s="10"/>
      <c r="AE44" s="30"/>
      <c r="AF44" s="30"/>
      <c r="AG44" s="30"/>
      <c r="AH44" s="30"/>
      <c r="AI44" s="30"/>
      <c r="AJ44" s="41">
        <f t="shared" si="8"/>
        <v>35914454.939999998</v>
      </c>
      <c r="AK44" s="30"/>
      <c r="AL44" s="30"/>
      <c r="AM44" s="30"/>
      <c r="AN44" s="30"/>
      <c r="AO44" s="25"/>
      <c r="AP44" s="25"/>
      <c r="AQ44" s="26"/>
      <c r="AR44" s="49" t="s">
        <v>134</v>
      </c>
      <c r="AS44" s="7"/>
      <c r="AT44" s="7"/>
      <c r="AU44" s="37"/>
    </row>
    <row r="45" spans="1:47" ht="30" customHeight="1" x14ac:dyDescent="0.25">
      <c r="A45" s="7" t="s">
        <v>172</v>
      </c>
      <c r="B45" s="7" t="s">
        <v>35</v>
      </c>
      <c r="C45" s="7" t="s">
        <v>100</v>
      </c>
      <c r="D45" s="7" t="s">
        <v>176</v>
      </c>
      <c r="E45" s="7" t="s">
        <v>177</v>
      </c>
      <c r="F45" s="7" t="s">
        <v>175</v>
      </c>
      <c r="G45" s="8" t="s">
        <v>138</v>
      </c>
      <c r="H45" s="8" t="s">
        <v>143</v>
      </c>
      <c r="I45" s="8" t="s">
        <v>103</v>
      </c>
      <c r="J45" s="8" t="s">
        <v>59</v>
      </c>
      <c r="K45" s="7" t="s">
        <v>145</v>
      </c>
      <c r="L45" s="7" t="s">
        <v>190</v>
      </c>
      <c r="M45" s="23" t="s">
        <v>182</v>
      </c>
      <c r="N45" s="27" t="s">
        <v>188</v>
      </c>
      <c r="O45" s="10" t="s">
        <v>146</v>
      </c>
      <c r="P45" s="10" t="s">
        <v>147</v>
      </c>
      <c r="Q45" s="10" t="s">
        <v>146</v>
      </c>
      <c r="R45" s="10" t="s">
        <v>148</v>
      </c>
      <c r="S45" s="7" t="s">
        <v>164</v>
      </c>
      <c r="T45" s="10" t="s">
        <v>149</v>
      </c>
      <c r="U45" s="10" t="s">
        <v>150</v>
      </c>
      <c r="V45" s="11">
        <f t="shared" ref="V45" si="9">+T45+K45</f>
        <v>46242</v>
      </c>
      <c r="W45" s="11">
        <f t="shared" ref="W45" si="10">+V45+Z45</f>
        <v>46246</v>
      </c>
      <c r="X45" s="11">
        <f t="shared" ref="X45" si="11">+V45+Y45+Z45</f>
        <v>46246</v>
      </c>
      <c r="Y45" s="7"/>
      <c r="Z45" s="7" t="s">
        <v>158</v>
      </c>
      <c r="AA45" s="29">
        <f ca="1">+IF(AB45="",TODAY()-X45,AB45-X45)</f>
        <v>-111</v>
      </c>
      <c r="AB45" s="28"/>
      <c r="AC45" s="28"/>
      <c r="AD45" s="28"/>
      <c r="AE45" s="9"/>
      <c r="AF45" s="9"/>
      <c r="AG45" s="9"/>
      <c r="AH45" s="9"/>
      <c r="AI45" s="9"/>
      <c r="AJ45" s="38">
        <f t="shared" ref="AJ45" si="12">+N45+AE45+AG45+AH45-AF45-AI45</f>
        <v>238332190.59</v>
      </c>
      <c r="AK45" s="9"/>
      <c r="AL45" s="9"/>
      <c r="AM45" s="9"/>
      <c r="AN45" s="9"/>
      <c r="AO45" s="25" t="s">
        <v>159</v>
      </c>
      <c r="AP45" s="25" t="s">
        <v>160</v>
      </c>
      <c r="AQ45" s="26" t="s">
        <v>161</v>
      </c>
      <c r="AR45" s="7"/>
      <c r="AS45" s="7"/>
      <c r="AT45" s="7"/>
      <c r="AU45" s="7"/>
    </row>
    <row r="51" spans="30:30" ht="30" customHeight="1" x14ac:dyDescent="0.25">
      <c r="AD51" s="13"/>
    </row>
    <row r="1047357" spans="2:3" ht="30" customHeight="1" x14ac:dyDescent="0.25">
      <c r="B1047357" s="7"/>
      <c r="C1047357" s="13"/>
    </row>
  </sheetData>
  <sheetProtection formatCells="0" formatColumns="0" formatRows="0" insertColumns="0" insertRows="0" insertHyperlinks="0" deleteColumns="0" deleteRows="0" sort="0" autoFilter="0" pivotTables="0"/>
  <customSheetViews>
    <customSheetView guid="{E2183EC7-A4B9-425C-B53A-8FAF16EFFE41}" scale="90" showGridLines="0" showAutoFilter="1">
      <pane ySplit="8" topLeftCell="A50" activePane="bottomLeft" state="frozen"/>
      <selection pane="bottomLeft" activeCell="A8" sqref="A8"/>
      <pageMargins left="0.7" right="0.7" top="0.75" bottom="0.75" header="0.3" footer="0.3"/>
      <pageSetup orientation="portrait" horizontalDpi="4294967295" verticalDpi="4294967295" r:id="rId1"/>
      <autoFilter ref="A8:WXF224" xr:uid="{36A010BA-C903-4003-87B5-E1DB4D1F4EC7}">
        <sortState xmlns:xlrd2="http://schemas.microsoft.com/office/spreadsheetml/2017/richdata2" ref="A10:WXF224">
          <sortCondition ref="C8:C224"/>
        </sortState>
      </autoFilter>
    </customSheetView>
    <customSheetView guid="{274EEEB9-448A-4950-9D09-913A859D6B0A}" scale="90" showGridLines="0" filter="1" showAutoFilter="1" topLeftCell="F1">
      <pane ySplit="8" topLeftCell="A28" activePane="bottomLeft" state="frozen"/>
      <selection pane="bottomLeft" activeCell="W231" sqref="W231"/>
      <pageMargins left="0.7" right="0.7" top="0.75" bottom="0.75" header="0.3" footer="0.3"/>
      <pageSetup orientation="portrait" horizontalDpi="4294967295" verticalDpi="4294967295" r:id="rId2"/>
      <autoFilter ref="A8:WXF224" xr:uid="{589E18DF-2DA3-41B0-8482-496AAA18098F}">
        <filterColumn colId="2">
          <filters>
            <filter val="12.016"/>
          </filters>
        </filterColumn>
        <sortState xmlns:xlrd2="http://schemas.microsoft.com/office/spreadsheetml/2017/richdata2" ref="A9:WXF224">
          <sortCondition ref="C8:C224"/>
        </sortState>
      </autoFilter>
    </customSheetView>
    <customSheetView guid="{AF1E95A0-EDDD-4F6A-8BC1-F08F0239533D}" scale="90" showGridLines="0" showAutoFilter="1">
      <pane ySplit="8" topLeftCell="A74" activePane="bottomLeft" state="frozen"/>
      <selection pane="bottomLeft" activeCell="AX77" sqref="AX77"/>
      <pageMargins left="0.7" right="0.7" top="0.75" bottom="0.75" header="0.3" footer="0.3"/>
      <pageSetup orientation="portrait" horizontalDpi="4294967295" verticalDpi="4294967295" r:id="rId3"/>
      <autoFilter ref="A8:WXF224" xr:uid="{EBE98AFD-BBD2-4F75-BF95-FEDBFCCAE28A}">
        <sortState xmlns:xlrd2="http://schemas.microsoft.com/office/spreadsheetml/2017/richdata2" ref="A9:WXF224">
          <sortCondition ref="C8:C224"/>
        </sortState>
      </autoFilter>
    </customSheetView>
    <customSheetView guid="{EF6B966D-1491-43A6-BC39-1F8D4D9E538D}" scale="90" showGridLines="0" showAutoFilter="1">
      <pane ySplit="8" topLeftCell="A72" activePane="bottomLeft" state="frozen"/>
      <selection pane="bottomLeft" activeCell="A78" sqref="A78"/>
      <pageMargins left="0.7" right="0.7" top="0.75" bottom="0.75" header="0.3" footer="0.3"/>
      <pageSetup orientation="portrait" horizontalDpi="4294967295" verticalDpi="4294967295" r:id="rId4"/>
      <autoFilter ref="A8:WXF224" xr:uid="{656C9E53-50D6-494C-9B0B-5291E10AF95D}">
        <sortState xmlns:xlrd2="http://schemas.microsoft.com/office/spreadsheetml/2017/richdata2" ref="A9:WXF224">
          <sortCondition ref="C8:C224"/>
        </sortState>
      </autoFilter>
    </customSheetView>
    <customSheetView guid="{739775B6-BBD1-42DB-9526-DC3278944A1C}" scale="90" showGridLines="0" showAutoFilter="1" topLeftCell="AN1">
      <pane ySplit="8" topLeftCell="A68" activePane="bottomLeft" state="frozen"/>
      <selection pane="bottomLeft" activeCell="AX72" sqref="AX72"/>
      <pageMargins left="0.7" right="0.7" top="0.75" bottom="0.75" header="0.3" footer="0.3"/>
      <pageSetup orientation="portrait" horizontalDpi="4294967295" verticalDpi="4294967295" r:id="rId5"/>
      <autoFilter ref="A8:WXF224" xr:uid="{DEC2CCD1-E947-4B43-839E-398A486F7F18}">
        <sortState xmlns:xlrd2="http://schemas.microsoft.com/office/spreadsheetml/2017/richdata2" ref="A9:WXF224">
          <sortCondition ref="C8:C224"/>
        </sortState>
      </autoFilter>
    </customSheetView>
    <customSheetView guid="{AFD61D45-78E8-48A2-AFD3-329A002F5A6C}" scale="90" showGridLines="0" filter="1" showAutoFilter="1">
      <pane ySplit="27" topLeftCell="A62" activePane="bottomLeft" state="frozen"/>
      <selection pane="bottomLeft" activeCell="AD225" sqref="AD225"/>
      <pageMargins left="0.7" right="0.7" top="0.75" bottom="0.75" header="0.3" footer="0.3"/>
      <pageSetup orientation="portrait" horizontalDpi="4294967295" verticalDpi="4294967295" r:id="rId6"/>
      <autoFilter ref="A8:WXF224" xr:uid="{8B0B173E-1570-4425-99BA-FBC0188B79C1}">
        <filterColumn colId="3">
          <filters>
            <filter val="MONZON"/>
          </filters>
        </filterColumn>
        <sortState xmlns:xlrd2="http://schemas.microsoft.com/office/spreadsheetml/2017/richdata2" ref="A10:WXF224">
          <sortCondition ref="C8:C224"/>
        </sortState>
      </autoFilter>
    </customSheetView>
  </customSheetViews>
  <conditionalFormatting sqref="A2:AU2 A3:A4 C3:K4 M3:U4 Y3:AQ4 AS3:AU4 A5:AU33 A34:AQ34 AS34:AU34 A44:AU45">
    <cfRule type="expression" dxfId="86" priority="67">
      <formula>$B2="REC. PROV."</formula>
    </cfRule>
    <cfRule type="expression" dxfId="85" priority="68">
      <formula>$B2="EJECUCIÓN"</formula>
    </cfRule>
  </conditionalFormatting>
  <conditionalFormatting sqref="A35:AU35 A36:S37 U36:AA37 AD36:AQ37 AS36:AU37 A38:AU39 B40:O40 R40:AU40 A40:A43 C41:F43 K41:N43 S41:AU43">
    <cfRule type="expression" dxfId="84" priority="53">
      <formula>$B35="REC. PROV."</formula>
    </cfRule>
    <cfRule type="expression" dxfId="83" priority="54">
      <formula>$B35="EJECUCIÓN"</formula>
    </cfRule>
  </conditionalFormatting>
  <conditionalFormatting sqref="A46:AU1260">
    <cfRule type="expression" dxfId="82" priority="73">
      <formula>$B46="REC. PROV."</formula>
    </cfRule>
    <cfRule type="expression" dxfId="81" priority="75">
      <formula>$B46="EJECUCIÓN"</formula>
    </cfRule>
  </conditionalFormatting>
  <conditionalFormatting sqref="B3:B4">
    <cfRule type="expression" dxfId="80" priority="43">
      <formula>$B3="REC. PROV."</formula>
    </cfRule>
    <cfRule type="expression" dxfId="79" priority="44">
      <formula>$B3="EJECUCIÓN"</formula>
    </cfRule>
  </conditionalFormatting>
  <conditionalFormatting sqref="B41:B43">
    <cfRule type="expression" dxfId="78" priority="1">
      <formula>$B41="REC. PROV."</formula>
    </cfRule>
    <cfRule type="expression" dxfId="77" priority="2">
      <formula>$B41="EJECUCIÓN"</formula>
    </cfRule>
  </conditionalFormatting>
  <conditionalFormatting sqref="G41:G43">
    <cfRule type="expression" dxfId="76" priority="5">
      <formula>$B41="REC. PROV."</formula>
    </cfRule>
    <cfRule type="expression" dxfId="75" priority="6">
      <formula>$B41="EJECUCIÓN"</formula>
    </cfRule>
  </conditionalFormatting>
  <conditionalFormatting sqref="H41:H43">
    <cfRule type="expression" dxfId="74" priority="23">
      <formula>$B41="REC. PROV."</formula>
    </cfRule>
    <cfRule type="expression" dxfId="73" priority="24">
      <formula>$B41="EJECUCIÓN"</formula>
    </cfRule>
  </conditionalFormatting>
  <conditionalFormatting sqref="I41:I43">
    <cfRule type="expression" dxfId="72" priority="29">
      <formula>$B41="REC. PROV."</formula>
    </cfRule>
    <cfRule type="expression" dxfId="71" priority="30">
      <formula>$B41="EJECUCIÓN"</formula>
    </cfRule>
  </conditionalFormatting>
  <conditionalFormatting sqref="J41:J43">
    <cfRule type="expression" dxfId="70" priority="25">
      <formula>$B41="REC. PROV."</formula>
    </cfRule>
    <cfRule type="expression" dxfId="69" priority="26">
      <formula>$B41="EJECUCIÓN"</formula>
    </cfRule>
  </conditionalFormatting>
  <conditionalFormatting sqref="L3:L4">
    <cfRule type="expression" dxfId="68" priority="41">
      <formula>$B3="REC. PROV."</formula>
    </cfRule>
    <cfRule type="expression" dxfId="67" priority="42">
      <formula>$B3="EJECUCIÓN"</formula>
    </cfRule>
  </conditionalFormatting>
  <conditionalFormatting sqref="O41:O43">
    <cfRule type="expression" dxfId="66" priority="19">
      <formula>$B41="REC. PROV."</formula>
    </cfRule>
    <cfRule type="expression" dxfId="65" priority="20">
      <formula>$B41="EJECUCIÓN"</formula>
    </cfRule>
  </conditionalFormatting>
  <conditionalFormatting sqref="P40:P43">
    <cfRule type="expression" dxfId="64" priority="15">
      <formula>$B40="REC. PROV."</formula>
    </cfRule>
    <cfRule type="expression" dxfId="63" priority="16">
      <formula>$B40="EJECUCIÓN"</formula>
    </cfRule>
  </conditionalFormatting>
  <conditionalFormatting sqref="Q40:Q43">
    <cfRule type="expression" dxfId="62" priority="11">
      <formula>$B40="REC. PROV."</formula>
    </cfRule>
    <cfRule type="expression" dxfId="61" priority="12">
      <formula>$B40="EJECUCIÓN"</formula>
    </cfRule>
  </conditionalFormatting>
  <conditionalFormatting sqref="R41:R43">
    <cfRule type="expression" dxfId="60" priority="9">
      <formula>$B41="REC. PROV."</formula>
    </cfRule>
    <cfRule type="expression" dxfId="59" priority="10">
      <formula>$B41="EJECUCIÓN"</formula>
    </cfRule>
  </conditionalFormatting>
  <conditionalFormatting sqref="T36:T37">
    <cfRule type="expression" dxfId="58" priority="49">
      <formula>$B36="REC. PROV."</formula>
    </cfRule>
    <cfRule type="expression" dxfId="57" priority="50">
      <formula>$B36="EJECUCIÓN"</formula>
    </cfRule>
  </conditionalFormatting>
  <conditionalFormatting sqref="V3:X4">
    <cfRule type="expression" dxfId="56" priority="37">
      <formula>$B3="REC. PROV."</formula>
    </cfRule>
    <cfRule type="expression" dxfId="55" priority="38">
      <formula>$B3="EJECUCIÓN"</formula>
    </cfRule>
  </conditionalFormatting>
  <conditionalFormatting sqref="AB36:AC37">
    <cfRule type="expression" dxfId="54" priority="51">
      <formula>$B36="REC. PROV."</formula>
    </cfRule>
    <cfRule type="expression" dxfId="53" priority="52">
      <formula>$B36="EJECUCIÓN"</formula>
    </cfRule>
  </conditionalFormatting>
  <conditionalFormatting sqref="AR3:AR4">
    <cfRule type="expression" dxfId="52" priority="35">
      <formula>$B3="REC. PROV."</formula>
    </cfRule>
    <cfRule type="expression" dxfId="51" priority="36">
      <formula>$B3="EJECUCIÓN"</formula>
    </cfRule>
  </conditionalFormatting>
  <conditionalFormatting sqref="AR34">
    <cfRule type="expression" dxfId="50" priority="57">
      <formula>$B34="REC. PROV."</formula>
    </cfRule>
    <cfRule type="expression" dxfId="49" priority="58">
      <formula>$B34="EJECUCIÓN"</formula>
    </cfRule>
  </conditionalFormatting>
  <conditionalFormatting sqref="AR36:AR37">
    <cfRule type="expression" dxfId="48" priority="45">
      <formula>$B36="REC. PROV."</formula>
    </cfRule>
    <cfRule type="expression" dxfId="47" priority="46">
      <formula>$B36="EJECUCIÓN"</formula>
    </cfRule>
  </conditionalFormatting>
  <dataValidations count="2">
    <dataValidation type="list" allowBlank="1" showInputMessage="1" showErrorMessage="1" sqref="B64063:C129597 B129599:C195133 B195135:C260669 B260671:C326205 B326207:C391741 B391743:C457277 B457279:C522813 B522815:C588349 B588351:C653885 B653887:C719421 B719423:C784957 B784959:C850493 B850495:C916029 B916031:C981565 B981567:C1048576 B46:C64061 B1:C8 C9:C44 B9:B43" xr:uid="{00000000-0002-0000-0000-000000000000}">
      <formula1>ESTADO</formula1>
    </dataValidation>
    <dataValidation type="list" allowBlank="1" showInputMessage="1" showErrorMessage="1" sqref="F63773:F63778 F129309:F129314 F194845:F194850 F260381:F260386 F325917:F325922 F391453:F391458 F456989:F456994 F522525:F522530 F588061:F588066 F653597:F653602 F719133:F719138 F784669:F784674 F850205:F850210 F915741:F915746 F981277:F981282" xr:uid="{00000000-0002-0000-0000-000001000000}">
      <formula1>COMPRADOR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scale="10" orientation="landscape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OBRAS VIGENTES</vt:lpstr>
    </vt:vector>
  </TitlesOfParts>
  <Company>Banco de la Provincia de Buenos Aires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Heyt, Sebastian</dc:creator>
  <cp:lastModifiedBy>Ruiz, Franco Alejandro</cp:lastModifiedBy>
  <cp:lastPrinted>2025-08-12T15:09:06Z</cp:lastPrinted>
  <dcterms:created xsi:type="dcterms:W3CDTF">2022-08-22T18:57:31Z</dcterms:created>
  <dcterms:modified xsi:type="dcterms:W3CDTF">2026-04-23T14:57:19Z</dcterms:modified>
</cp:coreProperties>
</file>